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cumentos\PUC\4P\TI\"/>
    </mc:Choice>
  </mc:AlternateContent>
  <xr:revisionPtr revIDLastSave="0" documentId="13_ncr:1_{3C8ADCD5-60A4-4CBB-84DA-25903F9B900F}" xr6:coauthVersionLast="47" xr6:coauthVersionMax="47" xr10:uidLastSave="{00000000-0000-0000-0000-000000000000}"/>
  <bookViews>
    <workbookView xWindow="-21720" yWindow="-120" windowWidth="21840" windowHeight="13020" tabRatio="500" xr2:uid="{00000000-000D-0000-FFFF-FFFF00000000}"/>
  </bookViews>
  <sheets>
    <sheet name="Kanban" sheetId="1" r:id="rId1"/>
    <sheet name="Equipe" sheetId="2" r:id="rId2"/>
    <sheet name="Painel" sheetId="3" r:id="rId3"/>
  </sheets>
  <definedNames>
    <definedName name="_xlnm._FilterDatabase" localSheetId="0" hidden="1">Kanban!$A$1:$K$125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8" i="3" l="1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C19" i="3"/>
  <c r="D18" i="3"/>
  <c r="C18" i="3"/>
  <c r="D17" i="3"/>
  <c r="C17" i="3"/>
  <c r="J12" i="3"/>
  <c r="I12" i="3"/>
  <c r="J11" i="3"/>
  <c r="I11" i="3"/>
  <c r="B11" i="3"/>
  <c r="J10" i="3"/>
  <c r="I10" i="3"/>
  <c r="B10" i="3"/>
  <c r="J9" i="3"/>
  <c r="I9" i="3"/>
  <c r="F9" i="3"/>
  <c r="E9" i="3"/>
  <c r="B9" i="3"/>
  <c r="B12" i="3" s="1"/>
  <c r="J8" i="3"/>
  <c r="I8" i="3"/>
  <c r="F8" i="3"/>
  <c r="E8" i="3"/>
  <c r="B8" i="3"/>
  <c r="J7" i="3"/>
  <c r="I7" i="3"/>
  <c r="F7" i="3"/>
  <c r="E7" i="3"/>
  <c r="B7" i="3"/>
  <c r="J6" i="3"/>
  <c r="I6" i="3"/>
  <c r="F6" i="3"/>
  <c r="E6" i="3"/>
  <c r="B6" i="3"/>
</calcChain>
</file>

<file path=xl/sharedStrings.xml><?xml version="1.0" encoding="utf-8"?>
<sst xmlns="http://schemas.openxmlformats.org/spreadsheetml/2006/main" count="1502" uniqueCount="603">
  <si>
    <t>ID</t>
  </si>
  <si>
    <t>Status</t>
  </si>
  <si>
    <t>Prioridade</t>
  </si>
  <si>
    <t>Marco</t>
  </si>
  <si>
    <t>Semana</t>
  </si>
  <si>
    <t>Período</t>
  </si>
  <si>
    <t>Área</t>
  </si>
  <si>
    <t>Tarefa</t>
  </si>
  <si>
    <t>Descrição / Critério de pronto</t>
  </si>
  <si>
    <t>Responsável sugerido</t>
  </si>
  <si>
    <t>Depende de</t>
  </si>
  <si>
    <t>T001</t>
  </si>
  <si>
    <t>To Do</t>
  </si>
  <si>
    <t>INEGOCIÁVEL</t>
  </si>
  <si>
    <t>PROTÓTIPO (20/09)</t>
  </si>
  <si>
    <t>S1</t>
  </si>
  <si>
    <t>11/09 – 18/09</t>
  </si>
  <si>
    <t>Infra</t>
  </si>
  <si>
    <t>Setup do projeto Unity + versionamento</t>
  </si>
  <si>
    <t>Projeto URP criado, Git/Plastic configurado, convenção de pastas e branch definida, todos com acesso e commit feito.</t>
  </si>
  <si>
    <t>Daniel</t>
  </si>
  <si>
    <t>—</t>
  </si>
  <si>
    <t>T002</t>
  </si>
  <si>
    <t>Movimentação</t>
  </si>
  <si>
    <t>Controlador de movimento (Rigidbody/KCC)</t>
  </si>
  <si>
    <t>Andar, corrida gradativa (velocidade acumula andando pra frente) e pulo respondendo a momentum. Não usar CharacterController nativo.</t>
  </si>
  <si>
    <t>Lima</t>
  </si>
  <si>
    <t>Setup do projeto</t>
  </si>
  <si>
    <t>T003</t>
  </si>
  <si>
    <t>Câmera</t>
  </si>
  <si>
    <t>Câmera 3ª pessoa orbital (Cinemachine)</t>
  </si>
  <si>
    <t>Distância fixa ao personagem, órbita livre pelo mouse, colisão com parede resolvida.</t>
  </si>
  <si>
    <t>Controlador de movimento</t>
  </si>
  <si>
    <t>T004</t>
  </si>
  <si>
    <t>Wall run</t>
  </si>
  <si>
    <t>Detecção por raycast lateral, gravidade ajustada, entrada e saída do estado sem travar.</t>
  </si>
  <si>
    <t>João Pedro</t>
  </si>
  <si>
    <t>T005</t>
  </si>
  <si>
    <t>Agarrar bordas (ledge grab)</t>
  </si>
  <si>
    <t>Detecção de borda, personagem se segura e sobe. Transição sem teleporte visível.</t>
  </si>
  <si>
    <t>T006</t>
  </si>
  <si>
    <t>Viagem no tempo</t>
  </si>
  <si>
    <t>Troca de período instantânea</t>
  </si>
  <si>
    <t>Clique esquerdo alterna entre dois estados de cenário (Futuro/Superfuturo) com transição muito breve. Posição do jogador preservada.</t>
  </si>
  <si>
    <t>Pedro</t>
  </si>
  <si>
    <t>T007</t>
  </si>
  <si>
    <t>Personagem</t>
  </si>
  <si>
    <t>Modelo base do personagem principal</t>
  </si>
  <si>
    <t>Mesh do protagonista (alto, esguio, braços fortes, camisa+suspensórios+gravata) com rig funcional. Textura ainda não necessária.</t>
  </si>
  <si>
    <t>Gabriel</t>
  </si>
  <si>
    <t>T008</t>
  </si>
  <si>
    <t>Level Design</t>
  </si>
  <si>
    <t>Sandbox de teste de mecânicas</t>
  </si>
  <si>
    <t>Cena cinza com paredes pra wall run, bordas pra ledge grab, vãos e os dois estados de período. Serve pra tunar feel.</t>
  </si>
  <si>
    <t>Lucas</t>
  </si>
  <si>
    <t>Troca de período</t>
  </si>
  <si>
    <t>T009</t>
  </si>
  <si>
    <t>Blockout inicial do Nível 1 (Sala de Máquinas)</t>
  </si>
  <si>
    <t>Whitebox da planta do andar, igual nos dois períodos. Só volume e circulação, sem detalhe.</t>
  </si>
  <si>
    <t>André</t>
  </si>
  <si>
    <t>Sandbox</t>
  </si>
  <si>
    <t>T010</t>
  </si>
  <si>
    <t>ESSENCIAL</t>
  </si>
  <si>
    <t>Vault</t>
  </si>
  <si>
    <t>Pulo dinâmico por cima de objetos, detectado por altura do obstáculo.</t>
  </si>
  <si>
    <t>T011</t>
  </si>
  <si>
    <t>Aterrissagem (roll/landing)</t>
  </si>
  <si>
    <t>Queda curta = landing; queda alta = roll, sem perder todo o momentum.</t>
  </si>
  <si>
    <t>T012</t>
  </si>
  <si>
    <t>Animação</t>
  </si>
  <si>
    <t>Animações placeholder de locomoção</t>
  </si>
  <si>
    <t>Idle, andar, correr, pular, cair — podem ser de biblioteca. Só pra validar leitura do movimento.</t>
  </si>
  <si>
    <t>Modelo base do personagem</t>
  </si>
  <si>
    <t>T013</t>
  </si>
  <si>
    <t>Detecção contextual (base)</t>
  </si>
  <si>
    <t>Raycast/overlap identifica o que está à frente e decide qual ação disparar. Base do sistema que cresce depois.</t>
  </si>
  <si>
    <t>Wall run; Ledge grab</t>
  </si>
  <si>
    <t>T014</t>
  </si>
  <si>
    <t>2 obstáculos exclusivos por período no sandbox</t>
  </si>
  <si>
    <t>Um bloqueio que existe só no Futuro e outro só no Superfuturo. Prova o conceito do puzzle em movimento.</t>
  </si>
  <si>
    <t>Troca de período; Sandbox</t>
  </si>
  <si>
    <t>T015</t>
  </si>
  <si>
    <t>RELEVANTE</t>
  </si>
  <si>
    <t>Efeitos de velocidade na câmera</t>
  </si>
  <si>
    <t>FOV kick ao acelerar + leve head bob. Barato e é o que mais vende a sensação de velocidade.</t>
  </si>
  <si>
    <t>Câmera orbital</t>
  </si>
  <si>
    <t>T016</t>
  </si>
  <si>
    <t>Arte</t>
  </si>
  <si>
    <t>Iluminação básica dos 2 períodos no sandbox</t>
  </si>
  <si>
    <t>URP + Post-Processing Volume: Futuro noturno com neon, Superfuturo diurno. Só pra sentir o contraste.</t>
  </si>
  <si>
    <t>Matheus</t>
  </si>
  <si>
    <t>T017</t>
  </si>
  <si>
    <t>Validação</t>
  </si>
  <si>
    <t>Playtest interno #1</t>
  </si>
  <si>
    <t>Toda a equipe joga o sandbox. Pergunta única: a movimentação é gostosa? Anotar tudo que travar.</t>
  </si>
  <si>
    <t>Todos</t>
  </si>
  <si>
    <t>Todas as tarefas da S1</t>
  </si>
  <si>
    <t>T018</t>
  </si>
  <si>
    <t>Rumo à Intermediária</t>
  </si>
  <si>
    <t>S2</t>
  </si>
  <si>
    <t>18/09 – 25/09</t>
  </si>
  <si>
    <t>Retrospectiva do protótipo</t>
  </si>
  <si>
    <t>Consolidar feedback do playtest #1 em lista priorizada de ajustes de feel. Define o foco da S2 e S3.</t>
  </si>
  <si>
    <t>T019</t>
  </si>
  <si>
    <t>Tuning de momentum</t>
  </si>
  <si>
    <t>Curva de aceleração, atrito, preservação de velocidade em curvas e ao aterrissar. Iteração contínua até a Intermediária.</t>
  </si>
  <si>
    <t>Retrospectiva</t>
  </si>
  <si>
    <t>T020</t>
  </si>
  <si>
    <t>Gerenciador global de período</t>
  </si>
  <si>
    <t>Refatorar a troca de período num sistema central que qualquer objeto do cenário consulta pra saber em que época está.</t>
  </si>
  <si>
    <t>T021</t>
  </si>
  <si>
    <t>Nível 1: whitebox refinado</t>
  </si>
  <si>
    <t>Planta fechada, rota principal e alternativa definidas, pontos de troca de período marcados.</t>
  </si>
  <si>
    <t>André + Lucas</t>
  </si>
  <si>
    <t>Blockout Nível 1</t>
  </si>
  <si>
    <t>T022</t>
  </si>
  <si>
    <t>Deslizar + agachar</t>
  </si>
  <si>
    <t>Slide preserva momentum; agachar permite passar por vãos baixos.</t>
  </si>
  <si>
    <t>T023</t>
  </si>
  <si>
    <t>Pulo de parede em parede</t>
  </si>
  <si>
    <t>Salto alternado entre duas paredes próximas, ganhando altura.</t>
  </si>
  <si>
    <t>T024</t>
  </si>
  <si>
    <t>Modelo final do protagonista (retopo + UV)</t>
  </si>
  <si>
    <t>Malha limpa em medium-poly, UV pronta pra texturizar.</t>
  </si>
  <si>
    <t>T025</t>
  </si>
  <si>
    <t>Kit modular — Sala de Máquinas (Futuro)</t>
  </si>
  <si>
    <t>Peças reutilizáveis: painéis, vigas, passarelas, caldeira, esteiras. Estética TRON, medium-poly.</t>
  </si>
  <si>
    <t>Nível 1 whitebox</t>
  </si>
  <si>
    <t>T026</t>
  </si>
  <si>
    <t>Item</t>
  </si>
  <si>
    <t>Máquina do tempo: modelo + estados</t>
  </si>
  <si>
    <t>Esfera amarela luminosa; vira vermelha quando desabilitada. Shader com parâmetro de estado.</t>
  </si>
  <si>
    <t>T027</t>
  </si>
  <si>
    <t>Obstáculo</t>
  </si>
  <si>
    <t>Lasers de segurança (Futuro)</t>
  </si>
  <si>
    <t>Grid de lasers com timing configurável. Ativo só no Futuro.</t>
  </si>
  <si>
    <t>Gerenciador de período</t>
  </si>
  <si>
    <t>T028</t>
  </si>
  <si>
    <t>Buracos e plataformas quebradas (Superfuturo)</t>
  </si>
  <si>
    <t>Vãos e plataformas colapsadas que só existem no Superfuturo.</t>
  </si>
  <si>
    <t>T029</t>
  </si>
  <si>
    <t>UI</t>
  </si>
  <si>
    <t>HUD mínimo + indicador de período</t>
  </si>
  <si>
    <t>Indicação discreta de qual época o jogador está e do estado da máquina. Minimalista, sem poluir a tela.</t>
  </si>
  <si>
    <t>T030</t>
  </si>
  <si>
    <t>Paleta de cores dos 3 períodos</t>
  </si>
  <si>
    <t>Documento com as cores-chave de Presente, Futuro e Superfuturo. Vira referência pra todo mundo.</t>
  </si>
  <si>
    <t>Lucas + Thiago (se retornar)</t>
  </si>
  <si>
    <t>T031</t>
  </si>
  <si>
    <t>S3</t>
  </si>
  <si>
    <t>25/09 – 02/10</t>
  </si>
  <si>
    <t>Animações reais de locomoção</t>
  </si>
  <si>
    <t>Andar, correr, parar, virar — substituindo os placeholders. Gravata e cabelo já reagindo.</t>
  </si>
  <si>
    <t>Modelo final do protagonista</t>
  </si>
  <si>
    <t>T032</t>
  </si>
  <si>
    <t>Animator Controller: blend tree de locomoção</t>
  </si>
  <si>
    <t>Estados e transições ligados aos parâmetros do controlador. Sem travadas visíveis entre estados.</t>
  </si>
  <si>
    <t>Gabriel + João Pedro</t>
  </si>
  <si>
    <t>Animações de locomoção</t>
  </si>
  <si>
    <t>T033</t>
  </si>
  <si>
    <t>Nível 1 jogável ponta a ponta (whitebox)</t>
  </si>
  <si>
    <t>Do início ao elevador, atravessável nos dois períodos, sem bloqueio impossível.</t>
  </si>
  <si>
    <t>Nível 1 whitebox refinado</t>
  </si>
  <si>
    <t>T034</t>
  </si>
  <si>
    <t>Sistema</t>
  </si>
  <si>
    <t>Morte, respawn e checkpoints</t>
  </si>
  <si>
    <t>Cair num abismo ou tomar dano letal retorna ao último checkpoint, sem recarregar a cena inteira.</t>
  </si>
  <si>
    <t>Nível 1 jogável</t>
  </si>
  <si>
    <t>T035</t>
  </si>
  <si>
    <t>Kit modular — Sala de Máquinas (Superfuturo)</t>
  </si>
  <si>
    <t>Mesmas peças do Futuro, versão arruinada: ferrugem, vegetação, colapso. Reaproveita a malha base.</t>
  </si>
  <si>
    <t>Kit modular Futuro</t>
  </si>
  <si>
    <t>T036</t>
  </si>
  <si>
    <t>Esteiras / linha de produção (Futuro)</t>
  </si>
  <si>
    <t>Esteiras que movem o jogador; podem somar ou atrapalhar o momentum.</t>
  </si>
  <si>
    <t>T037</t>
  </si>
  <si>
    <t>Robôs operários como plataforma (Futuro)</t>
  </si>
  <si>
    <t>Braços robóticos em movimento previsível, usados como plataforma móvel. Não-violentos.</t>
  </si>
  <si>
    <t>André + Pedro</t>
  </si>
  <si>
    <t>T038</t>
  </si>
  <si>
    <t>Vinhas de cipó (Superfuturo)</t>
  </si>
  <si>
    <t>Bloqueiam passagens que no Futuro estão livres; algumas escaláveis.</t>
  </si>
  <si>
    <t>Kit modular Superfuturo</t>
  </si>
  <si>
    <t>T039</t>
  </si>
  <si>
    <t>Escalada rápida</t>
  </si>
  <si>
    <t>Subida veloz por superfícies marcadas, mantendo o fluxo do parkour.</t>
  </si>
  <si>
    <t>Detecção contextual</t>
  </si>
  <si>
    <t>T040</t>
  </si>
  <si>
    <t>Menu inicial minimalista</t>
  </si>
  <si>
    <t>Iniciar, Configurações e Sair. Sem título, integrado visualmente à cena — base do menu diegético.</t>
  </si>
  <si>
    <t>T041</t>
  </si>
  <si>
    <t>Física da gravata e do cabelo</t>
  </si>
  <si>
    <t>Spring bones ou cloth leve, calibrados pra reagir à corrida sem espalhar.</t>
  </si>
  <si>
    <t>T042</t>
  </si>
  <si>
    <t>Áreas inundadas (Superfuturo)</t>
  </si>
  <si>
    <t>Água nos níveis baixos que desacelera ou impede passagem, empurrando a rota pra cima.</t>
  </si>
  <si>
    <t>T043</t>
  </si>
  <si>
    <t>S4</t>
  </si>
  <si>
    <t>02/10 – 09/10</t>
  </si>
  <si>
    <t>Blockout Nível 0 (Laboratório/Workshop)</t>
  </si>
  <si>
    <t>Whitebox do laboratório no Presente e da versão modernizada no Futuro, incluindo a sala de vidro duplo.</t>
  </si>
  <si>
    <t>T044</t>
  </si>
  <si>
    <t>Tutorial</t>
  </si>
  <si>
    <t>Tutorial parte 1 — movimentação</t>
  </si>
  <si>
    <t>Máquina descarregada e vermelha; jogador faz parkour até o dispositivo de energia. Recarga o manda ao Superfuturo.</t>
  </si>
  <si>
    <t>João Pedro + Lucas</t>
  </si>
  <si>
    <t>Blockout Nível 0</t>
  </si>
  <si>
    <t>T045</t>
  </si>
  <si>
    <t>Tutorial parte 2 — viagem no tempo</t>
  </si>
  <si>
    <t>Sala de experimentação com vidro duplo; jogador alterna épocas e aprende a lógica dos obstáculos. Silhueta observa atrás do vidro.</t>
  </si>
  <si>
    <t>Pedro + Lucas</t>
  </si>
  <si>
    <t>T046</t>
  </si>
  <si>
    <t>Tutorial parte 3 — combinado</t>
  </si>
  <si>
    <t>Primeira seção que exige parkour e troca de período ao mesmo tempo.</t>
  </si>
  <si>
    <t>Lucas + André</t>
  </si>
  <si>
    <t>Tutorial partes 1 e 2</t>
  </si>
  <si>
    <t>T047</t>
  </si>
  <si>
    <t>Campo eletromagnético (Futuro)</t>
  </si>
  <si>
    <t>Desabilita a máquina do tempo dentro da área — a máquina fica vermelha e a troca de período é bloqueada.</t>
  </si>
  <si>
    <t>Máquina do tempo: estados</t>
  </si>
  <si>
    <t>T048</t>
  </si>
  <si>
    <t>Animações de wall run, ledge grab e vault</t>
  </si>
  <si>
    <t>Os três movimentos com animação dedicada e transição limpa. Prioridade sobre os movimentos de cano.</t>
  </si>
  <si>
    <t>Animator Controller</t>
  </si>
  <si>
    <t>T049</t>
  </si>
  <si>
    <t>Set dressing Nível 1 — Futuro (passe 1)</t>
  </si>
  <si>
    <t>Preencher o whitebox com o kit modular. Foco em legibilidade da rota, não em detalhe.</t>
  </si>
  <si>
    <t>Kit modular Futuro; Nível 1 jogável</t>
  </si>
  <si>
    <t>T050</t>
  </si>
  <si>
    <t>Prensa hidráulica (Futuro)</t>
  </si>
  <si>
    <t>Obstáculo temporizado que exige leitura de ritmo pra atravessar.</t>
  </si>
  <si>
    <t>T051</t>
  </si>
  <si>
    <t>Luz solar por rachaduras (Superfuturo)</t>
  </si>
  <si>
    <t>Feixes de luz que causam dano gradual, forçando o jogador a trocar de época ou desviar.</t>
  </si>
  <si>
    <t>Pedro + Matheus</t>
  </si>
  <si>
    <t>T052</t>
  </si>
  <si>
    <t>Tela de configurações</t>
  </si>
  <si>
    <t>Volume, sensibilidade do mouse, resolução. Mesma estética minimalista do menu.</t>
  </si>
  <si>
    <t>Menu inicial</t>
  </si>
  <si>
    <t>T053</t>
  </si>
  <si>
    <t>Áudio</t>
  </si>
  <si>
    <t>SFX placeholder de movimento</t>
  </si>
  <si>
    <t>Passos, salto, aterrissagem, wall run. Mesmo que temporário, muda a percepção de peso.</t>
  </si>
  <si>
    <t>Animações de parkour</t>
  </si>
  <si>
    <t>T054</t>
  </si>
  <si>
    <t>BUILD INTERMEDIÁRIA (18/10)</t>
  </si>
  <si>
    <t>S5</t>
  </si>
  <si>
    <t>09/10 – 16/10</t>
  </si>
  <si>
    <t>Elevador e transição entre níveis</t>
  </si>
  <si>
    <t>Elevador funcional só no Futuro, carregando o próximo andar. Fecha o loop de progressão.</t>
  </si>
  <si>
    <t>T055</t>
  </si>
  <si>
    <t>Integração</t>
  </si>
  <si>
    <t>Nível 0 + Nível 1 em sequência</t>
  </si>
  <si>
    <t>Tutorial encadeado no Nível 1 via elevador, sem quebra de estado ou de progresso.</t>
  </si>
  <si>
    <t>André + Lima</t>
  </si>
  <si>
    <t>Elevador; Tutorial partes 1-3</t>
  </si>
  <si>
    <t>T056</t>
  </si>
  <si>
    <t>Passe de polimento da movimentação</t>
  </si>
  <si>
    <t>Revisão completa do feel com base no feedback acumulado. É o item que define a qualidade do jogo.</t>
  </si>
  <si>
    <t>Lima + João Pedro</t>
  </si>
  <si>
    <t>T057</t>
  </si>
  <si>
    <t>Entrega</t>
  </si>
  <si>
    <t>Empacotar e testar a Build Intermediária</t>
  </si>
  <si>
    <t>Build rodando em máquina limpa, sem erro de console, com o caminho Nível 0 → Nível 1 completo.</t>
  </si>
  <si>
    <t>Integração Nível 0 + Nível 1</t>
  </si>
  <si>
    <t>T058</t>
  </si>
  <si>
    <t>Texturização do protagonista</t>
  </si>
  <si>
    <t>Materiais e paleta definitivos, coerentes com a referência INSIDE (quase monocromático + 1 acento).</t>
  </si>
  <si>
    <t>T059</t>
  </si>
  <si>
    <t>Iluminação do Nível 1 nos dois períodos</t>
  </si>
  <si>
    <t>Futuro noturno com neon e reflexos; Superfuturo diurno com luz difusa. Post-processing configurado.</t>
  </si>
  <si>
    <t>Set dressing Nível 1</t>
  </si>
  <si>
    <t>T060</t>
  </si>
  <si>
    <t>Playtest interno #2 + documento de feedback</t>
  </si>
  <si>
    <t>Equipe joga a Intermediária inteira. Registrar onde travam, onde se perdem e onde reclamam do movimento.</t>
  </si>
  <si>
    <t>Build Intermediária</t>
  </si>
  <si>
    <t>T061</t>
  </si>
  <si>
    <t>Faixa de travessia (protótipo)</t>
  </si>
  <si>
    <t>Primeira versão da trilha com beats — referência Mirror's Edge / Beton Brutal.</t>
  </si>
  <si>
    <t>Thiago (se retornar) / externo</t>
  </si>
  <si>
    <t>T062</t>
  </si>
  <si>
    <t>Rumo à Alpha</t>
  </si>
  <si>
    <t>S6</t>
  </si>
  <si>
    <t>16/10 – 23/10</t>
  </si>
  <si>
    <t>Bugs</t>
  </si>
  <si>
    <t>Correção de bugs da Intermediária</t>
  </si>
  <si>
    <t>Varrer a lista do playtest #2 e fechar tudo que for bloqueante antes de abrir frente nova.</t>
  </si>
  <si>
    <t>Playtest interno #2</t>
  </si>
  <si>
    <t>T063</t>
  </si>
  <si>
    <t>Blockout Nível 2 (Servidores/Registros)</t>
  </si>
  <si>
    <t>Whitebox combinando sala de CFTV, data center e arquivo de registros. Corredores estreitos favorecem wall run.</t>
  </si>
  <si>
    <t>T064</t>
  </si>
  <si>
    <t>Modelo do perseguidor</t>
  </si>
  <si>
    <t>Mesmo rig do protagonista + máscara de gás, traje cobrindo o corpo e rabo de cavalo. Reaproveita todas as animações.</t>
  </si>
  <si>
    <t>T065</t>
  </si>
  <si>
    <t>Perseguição</t>
  </si>
  <si>
    <t>IA de perseguição — versão 1</t>
  </si>
  <si>
    <t>Trigger + rota fixa. Simples de propósito: só precisa ser assustadora, não inteligente.</t>
  </si>
  <si>
    <t>T066</t>
  </si>
  <si>
    <t>Câmera fixa lateral para perseguições</t>
  </si>
  <si>
    <t>Modo de câmera travado usado em todas as perseguições e cutscenes. Troca suave entre livre e fixa.</t>
  </si>
  <si>
    <t>T067</t>
  </si>
  <si>
    <t>Final B</t>
  </si>
  <si>
    <t>Sistema de gravação de replay</t>
  </si>
  <si>
    <t>Grava a movimentação do jogador na 1ª passagem. Base técnica do fantasma — começar cedo mesmo sendo do Final B.</t>
  </si>
  <si>
    <t>T068</t>
  </si>
  <si>
    <t>Kit modular — Servidores/Registros</t>
  </si>
  <si>
    <t>Racks de servidor, estantes de arquivo, monitores, painéis. Duas variações (Futuro/Superfuturo).</t>
  </si>
  <si>
    <t>Blockout Nível 2</t>
  </si>
  <si>
    <t>T069</t>
  </si>
  <si>
    <t>Câmera detectora + torreta (Futuro)</t>
  </si>
  <si>
    <t>A câmera identifica o jogador e aciona a torreta. Par de obstáculos com causa e efeito legível.</t>
  </si>
  <si>
    <t>T070</t>
  </si>
  <si>
    <t>Máscara: coleta e efeito</t>
  </si>
  <si>
    <t>Coletável no Nível 2. Libera travessia de áreas de gás tóxico e radiação.</t>
  </si>
  <si>
    <t>T071</t>
  </si>
  <si>
    <t>S7</t>
  </si>
  <si>
    <t>23/10 – 30/10</t>
  </si>
  <si>
    <t>Nível 2 jogável ponta a ponta</t>
  </si>
  <si>
    <t>Travessia completa nos dois períodos, com a máscara integrada à progressão.</t>
  </si>
  <si>
    <t>Blockout Nível 2; Máscara</t>
  </si>
  <si>
    <t>T072</t>
  </si>
  <si>
    <t>Perseguição 1 (Nível 0) jogável</t>
  </si>
  <si>
    <t>Sequência de fuga pós-tutorial com câmera fixa lateral e créditos da equipe em world space.</t>
  </si>
  <si>
    <t>André + Daniel</t>
  </si>
  <si>
    <t>IA de perseguição v1; Câmera fixa</t>
  </si>
  <si>
    <t>T073</t>
  </si>
  <si>
    <t>Perseguição 2 (Nível 2) jogável</t>
  </si>
  <si>
    <t>Segunda sequência de fuga, mais agressiva que a primeira.</t>
  </si>
  <si>
    <t>IA de perseguição v1; Nível 2 jogável</t>
  </si>
  <si>
    <t>T074</t>
  </si>
  <si>
    <t>Blockout Nível 3 (Escritórios)</t>
  </si>
  <si>
    <t>Whitebox com cubículos, sala de reuniões e refeitório. Andar mais limpo e menos industrial.</t>
  </si>
  <si>
    <t>T075</t>
  </si>
  <si>
    <t>Animações de deslizar, agachar e escalada</t>
  </si>
  <si>
    <t>Completar o repertório de parkour com animação dedicada.</t>
  </si>
  <si>
    <t>Animações de wall run/ledge/vault</t>
  </si>
  <si>
    <t>T076</t>
  </si>
  <si>
    <t>Narrativa</t>
  </si>
  <si>
    <t>Sala de câmeras: monitor da anomalia</t>
  </si>
  <si>
    <t>Monitor no Nível 2 exibindo a esfera de energia no terraço, crescendo. Entrega a informação sem uma palavra.</t>
  </si>
  <si>
    <t>Daniel + Matheus</t>
  </si>
  <si>
    <t>Nível 2 jogável</t>
  </si>
  <si>
    <t>T077</t>
  </si>
  <si>
    <t>Piso que cede progressivamente (Superfuturo)</t>
  </si>
  <si>
    <t>Racha sob o peso e desaba após alguns instantes. Cria pressão de tempo.</t>
  </si>
  <si>
    <t>T078</t>
  </si>
  <si>
    <t>Hélice (Futuro)</t>
  </si>
  <si>
    <t>Pás em rotação que exigem timing de passagem.</t>
  </si>
  <si>
    <t>T079</t>
  </si>
  <si>
    <t>Enxames (Superfuturo)</t>
  </si>
  <si>
    <t>Morcegos/insetos que levantam vôo e obscurecem a visão. Sinalizam perigo iminente.</t>
  </si>
  <si>
    <t>T080</t>
  </si>
  <si>
    <t>S8</t>
  </si>
  <si>
    <t>30/10 – 06/11</t>
  </si>
  <si>
    <t>Nível 3 jogável ponta a ponta</t>
  </si>
  <si>
    <t>Travessia completa nos dois períodos, com o traje integrado à progressão.</t>
  </si>
  <si>
    <t>Blockout Nível 3</t>
  </si>
  <si>
    <t>T081</t>
  </si>
  <si>
    <t>Blockout Nível 4 (Terraço)</t>
  </si>
  <si>
    <t>Whitebox do único espaço externo do jogo, incluindo a área da anomalia e a clarabóia.</t>
  </si>
  <si>
    <t>T082</t>
  </si>
  <si>
    <t>Traje: coleta e efeito</t>
  </si>
  <si>
    <t>Coletável no Nível 3. Bloqueia campos eletromagnéticos, liberando rotas antes impossíveis.</t>
  </si>
  <si>
    <t>Nível 3 jogável; Campo eletromagnético</t>
  </si>
  <si>
    <t>T083</t>
  </si>
  <si>
    <t>Kit modular — Escritórios</t>
  </si>
  <si>
    <t>Cubículos, mesas, divisórias de vidro, mobília de reunião e refeitório. Duas variações.</t>
  </si>
  <si>
    <t>T084</t>
  </si>
  <si>
    <t>VFX da anomalia (esfera de energia escura)</t>
  </si>
  <si>
    <t>Esfera negra no terraço, com escala controlável por parâmetro pra crescer ao longo do jogo.</t>
  </si>
  <si>
    <t>Gabriel + Matheus</t>
  </si>
  <si>
    <t>Blockout Nível 4</t>
  </si>
  <si>
    <t>T085</t>
  </si>
  <si>
    <t>Pulsação da máquina por proximidade</t>
  </si>
  <si>
    <t>Quanto mais alto o andar, mais forte a máquina pulsa e brilha. É o que guia o jogador ao terraço, sem HUD.</t>
  </si>
  <si>
    <t>T086</t>
  </si>
  <si>
    <t>Reprodução do replay (fantasma)</t>
  </si>
  <si>
    <t>O replay gravado é reproduzido como personagem no mundo. Fecha o sistema base do Final B.</t>
  </si>
  <si>
    <t>T087</t>
  </si>
  <si>
    <t>Correntes de água / enxurrada (Superfuturo)</t>
  </si>
  <si>
    <t>Ondas temporizadas por tubulações rompidas que empurram o jogador.</t>
  </si>
  <si>
    <t>T088</t>
  </si>
  <si>
    <t>Ventos fortes (Superfuturo)</t>
  </si>
  <si>
    <t>Rajadas em seções expostas que tiram o jogador da rota.</t>
  </si>
  <si>
    <t>T089</t>
  </si>
  <si>
    <t>DESEJÁVEL</t>
  </si>
  <si>
    <t>Fungos bioluminescentes (Superfuturo)</t>
  </si>
  <si>
    <t>Iluminam trechos escuros e soltam esporos que distorcem a visão em alta velocidade.</t>
  </si>
  <si>
    <t>T090</t>
  </si>
  <si>
    <t>Hologramas (Futuro)</t>
  </si>
  <si>
    <t>Projeções que confundem a leitura do cenário ou escondem passagens.</t>
  </si>
  <si>
    <t>T091</t>
  </si>
  <si>
    <t>S9</t>
  </si>
  <si>
    <t>06/11 – 13/11</t>
  </si>
  <si>
    <t>Nível 4 (Terraço) jogável ponta a ponta</t>
  </si>
  <si>
    <t>Travessia final completa, culminando na área da anomalia.</t>
  </si>
  <si>
    <t>T092</t>
  </si>
  <si>
    <t>Perseguição 3 (Terraço) jogável</t>
  </si>
  <si>
    <t>Última fuga da 1ª passagem, encerrando no encontro com a anomalia.</t>
  </si>
  <si>
    <t>Nível 4 jogável; IA de perseguição</t>
  </si>
  <si>
    <t>T093</t>
  </si>
  <si>
    <t>Cutscene do clímax (Final A)</t>
  </si>
  <si>
    <t>Tropeço, o perseguidor pega a máquina, os dois viajam, a anomalia engole o perseguidor. Câmera fixa lateral.</t>
  </si>
  <si>
    <t>Nível 4 jogável; VFX da anomalia</t>
  </si>
  <si>
    <t>T094</t>
  </si>
  <si>
    <t>Sequência de queda pelos andares</t>
  </si>
  <si>
    <t>O protagonista despenca pela clarabóia até o primeiro andar. Reaproveita a geometria já construída.</t>
  </si>
  <si>
    <t>Lima + André</t>
  </si>
  <si>
    <t>Cutscene do clímax</t>
  </si>
  <si>
    <t>T095</t>
  </si>
  <si>
    <t>Set dressing Níveis 2 e 3 (passe 1)</t>
  </si>
  <si>
    <t>Preencher os whiteboxes com os kits modulares nos dois períodos.</t>
  </si>
  <si>
    <t>Kits modulares N2 e N3</t>
  </si>
  <si>
    <t>T096</t>
  </si>
  <si>
    <t>Iluminação dos Níveis 2, 3 e 4</t>
  </si>
  <si>
    <t>Neon noturno no Futuro, luz difusa no Superfuturo, em todos os andares restantes.</t>
  </si>
  <si>
    <t>Matheus + André</t>
  </si>
  <si>
    <t>Set dressing N2 e N3</t>
  </si>
  <si>
    <t>T097</t>
  </si>
  <si>
    <t>Faixa de perseguição</t>
  </si>
  <si>
    <t>Trilha frenética para as três sequências de fuga.</t>
  </si>
  <si>
    <t>T098</t>
  </si>
  <si>
    <t>Tela de fim de jogo e créditos finais</t>
  </si>
  <si>
    <t>Fechamento do Final A, com créditos completos da equipe.</t>
  </si>
  <si>
    <t>T099</t>
  </si>
  <si>
    <t>BUILD ALPHA (22/11)</t>
  </si>
  <si>
    <t>S10</t>
  </si>
  <si>
    <t>13/11 – 20/11</t>
  </si>
  <si>
    <t>Jogo jogável do início ao Final A</t>
  </si>
  <si>
    <t>Todos os 5 níveis encadeados, sem bloqueio, sem softlock, do menu ao fim do Final A.</t>
  </si>
  <si>
    <t>Todos os níveis jogáveis</t>
  </si>
  <si>
    <t>T100</t>
  </si>
  <si>
    <t>Empacotar e testar a Build Alpha</t>
  </si>
  <si>
    <t>Build validada em máquina limpa, com a experiência completa do Final A funcionando.</t>
  </si>
  <si>
    <t>Jogo jogável até o Final A</t>
  </si>
  <si>
    <t>T101</t>
  </si>
  <si>
    <t>Decisão</t>
  </si>
  <si>
    <t>Checkpoint: o Final B entra?</t>
  </si>
  <si>
    <t>Avaliar com a equipe se o Final B é viável nas 2 semanas restantes. Se não, congela no Final A sem culpa.</t>
  </si>
  <si>
    <t>Build Alpha</t>
  </si>
  <si>
    <t>T102</t>
  </si>
  <si>
    <t>Cutscene de abertura (prólogo)</t>
  </si>
  <si>
    <t>Homem na escrivaninha, esfera, porta-retrato, clarão. Câmera fixa lateral. Cara de produzir — só entra com a Alpha estável.</t>
  </si>
  <si>
    <t>Gabriel + Lucas</t>
  </si>
  <si>
    <t>T103</t>
  </si>
  <si>
    <t>Menu diegético integrado à abertura</t>
  </si>
  <si>
    <t>Iniciar/Configurações/Sair sobrepostos à cena do prólogo, sem título.</t>
  </si>
  <si>
    <t>Cutscene de abertura; Menu inicial</t>
  </si>
  <si>
    <t>T104</t>
  </si>
  <si>
    <t>Playtest externo #1</t>
  </si>
  <si>
    <t>Pessoas de fora da equipe jogam sem instrução. É onde aparecem os problemas que a equipe já não enxerga.</t>
  </si>
  <si>
    <t>T105</t>
  </si>
  <si>
    <t>Mixagem: tutorial, travessia e perseguição</t>
  </si>
  <si>
    <t>Equilibrar volumes e transições entre os três tratamentos sonoros.</t>
  </si>
  <si>
    <t>Faixas de travessia e perseguição</t>
  </si>
  <si>
    <t>T106</t>
  </si>
  <si>
    <t>Esqueleto da 2ª passagem</t>
  </si>
  <si>
    <t>Estrutura que reabre as cenas de perseguição com os papéis invertidos. Só o esqueleto, sem polimento.</t>
  </si>
  <si>
    <t>Reprodução do replay</t>
  </si>
  <si>
    <t>T107</t>
  </si>
  <si>
    <t>Rumo à Final</t>
  </si>
  <si>
    <t>S11</t>
  </si>
  <si>
    <t>20/11 – 27/11</t>
  </si>
  <si>
    <t>Correção de bugs da Alpha (prioridade 1)</t>
  </si>
  <si>
    <t>Fechar tudo que for bloqueante ou quebrar a experiência. Nada de feature nova sem isso resolvido.</t>
  </si>
  <si>
    <t>T108</t>
  </si>
  <si>
    <t>Balanceamento de dificuldade e timing</t>
  </si>
  <si>
    <t>Ajustar velocidade dos obstáculos, distância dos saltos e ritmo das perseguições com base no playtest externo.</t>
  </si>
  <si>
    <t>T109</t>
  </si>
  <si>
    <t>Polimento das transições de animação</t>
  </si>
  <si>
    <t>Eliminar travadas e pops entre estados de parkour. É o que mais denuncia produção apressada.</t>
  </si>
  <si>
    <t>Todas as animações de parkour</t>
  </si>
  <si>
    <t>T110</t>
  </si>
  <si>
    <t>Set dressing final de todos os níveis</t>
  </si>
  <si>
    <t>Passe final nos 5 níveis, nos dois períodos. Coerência visual de ponta a ponta.</t>
  </si>
  <si>
    <t>Iluminação de todos os níveis</t>
  </si>
  <si>
    <t>T111</t>
  </si>
  <si>
    <t>Performance</t>
  </si>
  <si>
    <t>Otimização</t>
  </si>
  <si>
    <t>Batching, LODs, limite de luzes em tempo real, custo de post-processing. Meta: framerate estável na máquina alvo.</t>
  </si>
  <si>
    <t>Set dressing final</t>
  </si>
  <si>
    <t>T112</t>
  </si>
  <si>
    <t>2ª passagem jogável (perseguindo o fantasma)</t>
  </si>
  <si>
    <t>Jogador percorre as cenas de perseguição no papel de caçador, com o fantasma como alvo.</t>
  </si>
  <si>
    <t>Pedro + João Pedro</t>
  </si>
  <si>
    <t>T113</t>
  </si>
  <si>
    <t>Cena de decisão no terraço</t>
  </si>
  <si>
    <t>Ícone oferece pegar a máquina. Pegar = game over e repete; ignorar = avança pro desfecho.</t>
  </si>
  <si>
    <t>Daniel + Lima</t>
  </si>
  <si>
    <t>2ª passagem jogável</t>
  </si>
  <si>
    <t>T114</t>
  </si>
  <si>
    <t>Epílogo: nascer do sol no Presente</t>
  </si>
  <si>
    <t>Cena final no terraço, personagem encarando o horizonte. Fecha o arco visual madrugada → amanhecer.</t>
  </si>
  <si>
    <t>Matheus + Gabriel</t>
  </si>
  <si>
    <t>T115</t>
  </si>
  <si>
    <t>Faixa de cutscene (crescente e dramática)</t>
  </si>
  <si>
    <t>Trilha das cutscenes de abertura e clímax.</t>
  </si>
  <si>
    <t>T116</t>
  </si>
  <si>
    <t>BUILD FINAL (06/12)</t>
  </si>
  <si>
    <t>S12</t>
  </si>
  <si>
    <t>27/11 – 04/12</t>
  </si>
  <si>
    <t>Processo</t>
  </si>
  <si>
    <t>Feature freeze</t>
  </si>
  <si>
    <t>Nenhuma funcionalidade nova entra a partir daqui. Só correção, polimento e ajuste.</t>
  </si>
  <si>
    <t>T117</t>
  </si>
  <si>
    <t>Correção final de bugs</t>
  </si>
  <si>
    <t>Última varredura completa. Priorizar crash, softlock e quebra de progressão.</t>
  </si>
  <si>
    <t>T118</t>
  </si>
  <si>
    <t>Passe final de polimento visual</t>
  </si>
  <si>
    <t>Ajustes finos de composição, contraste e leitura de rota em todos os níveis.</t>
  </si>
  <si>
    <t>Matheus + Lucas</t>
  </si>
  <si>
    <t>T119</t>
  </si>
  <si>
    <t>Empacotar e testar a Build Final</t>
  </si>
  <si>
    <t>Build validada em máquina limpa, sem dependência externa, pronta pra entrega acadêmica.</t>
  </si>
  <si>
    <t>T120</t>
  </si>
  <si>
    <t>Documentação</t>
  </si>
  <si>
    <t>Documentação final e entrega</t>
  </si>
  <si>
    <t>GDD atualizado, README, créditos e o que mais a disciplina exigir.</t>
  </si>
  <si>
    <t>Lucas + Daniel</t>
  </si>
  <si>
    <t>Build Final</t>
  </si>
  <si>
    <t>T121</t>
  </si>
  <si>
    <t>Playtest externo #2 e ajustes rápidos</t>
  </si>
  <si>
    <t>Última rodada com pessoas de fora. Só ajustes de baixo risco entram depois disso.</t>
  </si>
  <si>
    <t>T122</t>
  </si>
  <si>
    <t>Revisão final de áudio e mixagem</t>
  </si>
  <si>
    <t>Passe final de volume, transições e SFX em todo o jogo.</t>
  </si>
  <si>
    <t>Mixagem de áudio</t>
  </si>
  <si>
    <t>T123</t>
  </si>
  <si>
    <t>Cutscene do abraço (em silhueta)</t>
  </si>
  <si>
    <t>Contato físico entre os dois personagens, enquadrado em silhueta contra a luz da anomalia — esconde imprecisão de animação.</t>
  </si>
  <si>
    <t>T124</t>
  </si>
  <si>
    <t>Controle simultâneo dos dois personagens</t>
  </si>
  <si>
    <t>Trecho final em que o jogador move os dois em direção à esfera.</t>
  </si>
  <si>
    <t>Cutscene do abraço</t>
  </si>
  <si>
    <t>Membro</t>
  </si>
  <si>
    <t>Título oficial</t>
  </si>
  <si>
    <t>Frente principal</t>
  </si>
  <si>
    <t>Frente secundária</t>
  </si>
  <si>
    <t>Observações de alocação</t>
  </si>
  <si>
    <t>Level design dos 5 níveis, direção criativa, validação</t>
  </si>
  <si>
    <t>Modelagem de assets 3D</t>
  </si>
  <si>
    <t>Dono do GDD e das decisões de escopo. Conduz playtests e a decisão de Final A vs B. Evitar alocar em programação pura.</t>
  </si>
  <si>
    <t>Construção e blockout dos níveis, obstáculos de cenário</t>
  </si>
  <si>
    <t>Programação de apoio (coringa)</t>
  </si>
  <si>
    <t>Coringa técnico: pode absorver programação se alguma frente atrasar. É quem mais entrega volume de nível.</t>
  </si>
  <si>
    <t>Artista de Cenário e Props 3D</t>
  </si>
  <si>
    <t>Kits modulares dos 5 andares, set dressing, iluminação</t>
  </si>
  <si>
    <t>VFX de ambiente</t>
  </si>
  <si>
    <t>Gargalo de arte do projeto. Priorizar kits modulares cedo — tudo depende deles pra sair do whitebox.</t>
  </si>
  <si>
    <t>Artista de Personagem e Animação</t>
  </si>
  <si>
    <t>Modelo e animações do protagonista e do perseguidor</t>
  </si>
  <si>
    <t>Carga mais pesada e mais contínua do projeto. Cada movimento novo de parkour é trabalho dele. Proteger esse tempo.</t>
  </si>
  <si>
    <t>Programador Lead — Movimentação e Câmera</t>
  </si>
  <si>
    <t>Controlador de momentum, câmera, IA de perseguição, performance</t>
  </si>
  <si>
    <t>Arquitetura geral, sistemas</t>
  </si>
  <si>
    <t>Responsável pelo pilar mais importante do jogo (o feel). Deve iterar continuamente, não entregar e sair.</t>
  </si>
  <si>
    <t>Programador de Parkour / Gameplay</t>
  </si>
  <si>
    <t>Movimentos de parkour, detecção contextual, itens</t>
  </si>
  <si>
    <t>Gameplay geral</t>
  </si>
  <si>
    <t>Escopo hoje é só parkour, mas cabe mais: pode assumir itens, coletáveis e lógica de nível conforme sobrar.</t>
  </si>
  <si>
    <t>Programador de Sistemas Temporais</t>
  </si>
  <si>
    <t>Troca de período, obstáculos por época, replay/fantasma</t>
  </si>
  <si>
    <t>Shaders de estado</t>
  </si>
  <si>
    <t>Dono da mecânica que define o jogo. Também é quem constrói o sistema de replay — base do Final B.</t>
  </si>
  <si>
    <t>Programador e Designer de UI</t>
  </si>
  <si>
    <t>Menus, HUD, configurações, builds e empacotamento</t>
  </si>
  <si>
    <t>Infra de projeto, integração</t>
  </si>
  <si>
    <t>Carga de UI é baixa por ser minimalista. Absorve o papel de build master e integrador — trabalho constante e essencial.</t>
  </si>
  <si>
    <t>Thiago</t>
  </si>
  <si>
    <t>Artista 2D (inativo)</t>
  </si>
  <si>
    <t>Trilha/áudio, apoio 2D, paleta de cores</t>
  </si>
  <si>
    <t>OFF no momento. Tarefas marcadas como 'se retornar'. Se não voltar, áudio precisa ser terceirizado ou usar biblioteca licenciada.</t>
  </si>
  <si>
    <t>PAINEL DE ACOMPANHAMENTO</t>
  </si>
  <si>
    <t>Os números abaixo se atualizam sozinhos conforme a coluna Status da aba Kanban é preenchida.</t>
  </si>
  <si>
    <t>POR STATUS</t>
  </si>
  <si>
    <t>POR PRIORIDADE</t>
  </si>
  <si>
    <t>POR MARCO DE ENTREGA</t>
  </si>
  <si>
    <t>Tarefas</t>
  </si>
  <si>
    <t>Total</t>
  </si>
  <si>
    <t>Concluídas</t>
  </si>
  <si>
    <t>Doing</t>
  </si>
  <si>
    <t>Review</t>
  </si>
  <si>
    <t>Done</t>
  </si>
  <si>
    <t>Late</t>
  </si>
  <si>
    <t>TOTAL</t>
  </si>
  <si>
    <t>% concluído</t>
  </si>
  <si>
    <t>POR SEMANA</t>
  </si>
  <si>
    <t>LEGENDA DE PRIORIDADES</t>
  </si>
  <si>
    <t>Sem isso a entrega daquele marco não existe. Bloqueia todo o resto.</t>
  </si>
  <si>
    <t>A entrega funciona sem, mas fica claramente incompleta.</t>
  </si>
  <si>
    <t>Melhora bastante a experiência; primeira coisa a adiar se apertar.</t>
  </si>
  <si>
    <t>Cenário ideal. Inclui todo o Final B — só entra se a Alpha fechar limpa.</t>
  </si>
  <si>
    <t>COMO USAR</t>
  </si>
  <si>
    <t>1. A aba Kanban é a fonte de verdade. Cada linha é uma tarefa de uma semana específica.</t>
  </si>
  <si>
    <t>2. Mova a tarefa pela coluna Status: To Do → Doing → Review → Done. Use Late quando a semana passar sem concluir.</t>
  </si>
  <si>
    <t>3. Use o filtro do cabeçalho pra ver só uma semana, um responsável ou uma prioridade por vez.</t>
  </si>
  <si>
    <t>4. Este painel se atualiza sozinho — não edite as células de número aqui.</t>
  </si>
  <si>
    <t>5. 'Depende de' indica o que precisa estar pronto antes. Não comece uma tarefa com dependência em aberto.</t>
  </si>
  <si>
    <t>6. A partir da S2, cada semana tem 7 dias corridos, com a entrega da semana anterior e o início da próxima no mesmo dia. Nas semanas de marco, a entrega oficial cai 2 dias depois do fim da semana, como margem de segurança.</t>
  </si>
  <si>
    <t>7. Títulos oficiais de cada pessoa estão na aba Equipe, coluna 'Título oficial' — não aparecem na aba Kanban de propósito, pra manter a tabela enxuta.</t>
  </si>
  <si>
    <t>Level Designer / Art Lead</t>
  </si>
  <si>
    <t>Level Designer / Artista 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</si>
</sst>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0"/>
      <color rgb="FF00E5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6"/>
      <name val="Arial"/>
      <charset val="1"/>
    </font>
    <font>
      <i/>
      <sz val="10"/>
      <color rgb="FF666666"/>
      <name val="Arial"/>
      <charset val="1"/>
    </font>
    <font>
      <b/>
      <sz val="12"/>
      <color rgb="FF0B5394"/>
      <name val="Arial"/>
      <charset val="1"/>
    </font>
    <font>
      <b/>
      <u/>
      <sz val="10"/>
      <color rgb="FF00E5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4171A"/>
        <bgColor rgb="FF000000"/>
      </patternFill>
    </fill>
    <fill>
      <patternFill patternType="solid">
        <fgColor rgb="FFEFEFEF"/>
        <bgColor rgb="FFFFF2CC"/>
      </patternFill>
    </fill>
    <fill>
      <patternFill patternType="solid">
        <fgColor rgb="FFF4CC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D9EAD3"/>
        <bgColor rgb="FFCFE2F3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164" fontId="0" fillId="0" borderId="0" xfId="0" applyNumberFormat="1"/>
    <xf numFmtId="0" fontId="3" fillId="4" borderId="0" xfId="0" applyFont="1" applyFill="1"/>
    <xf numFmtId="0" fontId="2" fillId="0" borderId="0" xfId="0" applyFont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7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9">
    <dxf>
      <font>
        <b/>
        <sz val="10"/>
        <name val="Arial"/>
        <charset val="1"/>
      </font>
      <fill>
        <patternFill>
          <bgColor rgb="FFCFE2F3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ont>
        <b/>
        <sz val="10"/>
        <color rgb="FF990000"/>
        <name val="Arial"/>
        <charset val="1"/>
      </font>
      <fill>
        <patternFill>
          <bgColor rgb="FFF4CCCC"/>
        </patternFill>
      </fill>
    </dxf>
    <dxf>
      <font>
        <b/>
        <sz val="10"/>
        <color rgb="FF0B5394"/>
        <name val="Arial"/>
        <charset val="1"/>
      </font>
      <fill>
        <patternFill>
          <bgColor rgb="FFCFE2F3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38761D"/>
        <name val="Arial"/>
        <charset val="1"/>
      </font>
      <fill>
        <patternFill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990000"/>
      <rgbColor rgb="FF38761D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CFE2F3"/>
      <rgbColor rgb="FF660066"/>
      <rgbColor rgb="FFFF8080"/>
      <rgbColor rgb="FF0B5394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E5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4171A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5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1" sqref="D1"/>
    </sheetView>
  </sheetViews>
  <sheetFormatPr defaultColWidth="8.6640625" defaultRowHeight="14.4" x14ac:dyDescent="0.3"/>
  <cols>
    <col min="1" max="1" width="7" customWidth="1"/>
    <col min="2" max="2" width="10" customWidth="1"/>
    <col min="3" max="3" width="14" customWidth="1"/>
    <col min="4" max="4" width="24" customWidth="1"/>
    <col min="5" max="5" width="8" customWidth="1"/>
    <col min="6" max="6" width="34" customWidth="1"/>
    <col min="7" max="7" width="15" customWidth="1"/>
    <col min="8" max="8" width="40" customWidth="1"/>
    <col min="9" max="9" width="62" customWidth="1"/>
    <col min="10" max="10" width="24" customWidth="1"/>
    <col min="11" max="11" width="26" customWidth="1"/>
  </cols>
  <sheetData>
    <row r="1" spans="1:11" ht="31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2" customHeight="1" x14ac:dyDescent="0.3">
      <c r="A2" s="2" t="s">
        <v>11</v>
      </c>
      <c r="B2" s="2" t="s">
        <v>12</v>
      </c>
      <c r="C2" s="2" t="s">
        <v>13</v>
      </c>
      <c r="D2" s="3" t="s">
        <v>14</v>
      </c>
      <c r="E2" s="2" t="s">
        <v>15</v>
      </c>
      <c r="F2" s="3" t="s">
        <v>16</v>
      </c>
      <c r="G2" s="3" t="s">
        <v>17</v>
      </c>
      <c r="H2" s="4" t="s">
        <v>18</v>
      </c>
      <c r="I2" s="5" t="s">
        <v>19</v>
      </c>
      <c r="J2" s="5" t="s">
        <v>20</v>
      </c>
      <c r="K2" s="5" t="s">
        <v>21</v>
      </c>
    </row>
    <row r="3" spans="1:11" ht="42" customHeight="1" x14ac:dyDescent="0.3">
      <c r="A3" s="2" t="s">
        <v>22</v>
      </c>
      <c r="B3" s="2" t="s">
        <v>12</v>
      </c>
      <c r="C3" s="2" t="s">
        <v>13</v>
      </c>
      <c r="D3" s="3" t="s">
        <v>14</v>
      </c>
      <c r="E3" s="2" t="s">
        <v>15</v>
      </c>
      <c r="F3" s="3" t="s">
        <v>16</v>
      </c>
      <c r="G3" s="3" t="s">
        <v>23</v>
      </c>
      <c r="H3" s="4" t="s">
        <v>24</v>
      </c>
      <c r="I3" s="5" t="s">
        <v>25</v>
      </c>
      <c r="J3" s="5" t="s">
        <v>26</v>
      </c>
      <c r="K3" s="5" t="s">
        <v>27</v>
      </c>
    </row>
    <row r="4" spans="1:11" ht="42" customHeight="1" x14ac:dyDescent="0.3">
      <c r="A4" s="2" t="s">
        <v>28</v>
      </c>
      <c r="B4" s="2" t="s">
        <v>12</v>
      </c>
      <c r="C4" s="2" t="s">
        <v>13</v>
      </c>
      <c r="D4" s="3" t="s">
        <v>14</v>
      </c>
      <c r="E4" s="2" t="s">
        <v>15</v>
      </c>
      <c r="F4" s="3" t="s">
        <v>16</v>
      </c>
      <c r="G4" s="3" t="s">
        <v>29</v>
      </c>
      <c r="H4" s="4" t="s">
        <v>30</v>
      </c>
      <c r="I4" s="5" t="s">
        <v>31</v>
      </c>
      <c r="J4" s="5" t="s">
        <v>26</v>
      </c>
      <c r="K4" s="5" t="s">
        <v>32</v>
      </c>
    </row>
    <row r="5" spans="1:11" ht="42" customHeight="1" x14ac:dyDescent="0.3">
      <c r="A5" s="2" t="s">
        <v>33</v>
      </c>
      <c r="B5" s="2" t="s">
        <v>12</v>
      </c>
      <c r="C5" s="2" t="s">
        <v>13</v>
      </c>
      <c r="D5" s="3" t="s">
        <v>14</v>
      </c>
      <c r="E5" s="2" t="s">
        <v>15</v>
      </c>
      <c r="F5" s="3" t="s">
        <v>16</v>
      </c>
      <c r="G5" s="3" t="s">
        <v>23</v>
      </c>
      <c r="H5" s="4" t="s">
        <v>34</v>
      </c>
      <c r="I5" s="5" t="s">
        <v>35</v>
      </c>
      <c r="J5" s="5" t="s">
        <v>36</v>
      </c>
      <c r="K5" s="5" t="s">
        <v>32</v>
      </c>
    </row>
    <row r="6" spans="1:11" ht="42" customHeight="1" x14ac:dyDescent="0.3">
      <c r="A6" s="2" t="s">
        <v>37</v>
      </c>
      <c r="B6" s="2" t="s">
        <v>12</v>
      </c>
      <c r="C6" s="2" t="s">
        <v>13</v>
      </c>
      <c r="D6" s="3" t="s">
        <v>14</v>
      </c>
      <c r="E6" s="2" t="s">
        <v>15</v>
      </c>
      <c r="F6" s="3" t="s">
        <v>16</v>
      </c>
      <c r="G6" s="3" t="s">
        <v>23</v>
      </c>
      <c r="H6" s="4" t="s">
        <v>38</v>
      </c>
      <c r="I6" s="5" t="s">
        <v>39</v>
      </c>
      <c r="J6" s="5" t="s">
        <v>36</v>
      </c>
      <c r="K6" s="5" t="s">
        <v>32</v>
      </c>
    </row>
    <row r="7" spans="1:11" ht="42" customHeight="1" x14ac:dyDescent="0.3">
      <c r="A7" s="2" t="s">
        <v>40</v>
      </c>
      <c r="B7" s="2" t="s">
        <v>12</v>
      </c>
      <c r="C7" s="2" t="s">
        <v>13</v>
      </c>
      <c r="D7" s="3" t="s">
        <v>14</v>
      </c>
      <c r="E7" s="2" t="s">
        <v>15</v>
      </c>
      <c r="F7" s="3" t="s">
        <v>16</v>
      </c>
      <c r="G7" s="3" t="s">
        <v>41</v>
      </c>
      <c r="H7" s="4" t="s">
        <v>42</v>
      </c>
      <c r="I7" s="5" t="s">
        <v>43</v>
      </c>
      <c r="J7" s="5" t="s">
        <v>44</v>
      </c>
      <c r="K7" s="5" t="s">
        <v>27</v>
      </c>
    </row>
    <row r="8" spans="1:11" ht="42" customHeight="1" x14ac:dyDescent="0.3">
      <c r="A8" s="2" t="s">
        <v>45</v>
      </c>
      <c r="B8" s="2" t="s">
        <v>12</v>
      </c>
      <c r="C8" s="2" t="s">
        <v>13</v>
      </c>
      <c r="D8" s="3" t="s">
        <v>14</v>
      </c>
      <c r="E8" s="2" t="s">
        <v>15</v>
      </c>
      <c r="F8" s="3" t="s">
        <v>16</v>
      </c>
      <c r="G8" s="3" t="s">
        <v>46</v>
      </c>
      <c r="H8" s="4" t="s">
        <v>47</v>
      </c>
      <c r="I8" s="5" t="s">
        <v>48</v>
      </c>
      <c r="J8" s="5" t="s">
        <v>49</v>
      </c>
      <c r="K8" s="5" t="s">
        <v>21</v>
      </c>
    </row>
    <row r="9" spans="1:11" ht="42" customHeight="1" x14ac:dyDescent="0.3">
      <c r="A9" s="2" t="s">
        <v>50</v>
      </c>
      <c r="B9" s="2" t="s">
        <v>12</v>
      </c>
      <c r="C9" s="2" t="s">
        <v>13</v>
      </c>
      <c r="D9" s="3" t="s">
        <v>14</v>
      </c>
      <c r="E9" s="2" t="s">
        <v>15</v>
      </c>
      <c r="F9" s="3" t="s">
        <v>16</v>
      </c>
      <c r="G9" s="3" t="s">
        <v>51</v>
      </c>
      <c r="H9" s="4" t="s">
        <v>52</v>
      </c>
      <c r="I9" s="5" t="s">
        <v>53</v>
      </c>
      <c r="J9" s="5" t="s">
        <v>54</v>
      </c>
      <c r="K9" s="5" t="s">
        <v>55</v>
      </c>
    </row>
    <row r="10" spans="1:11" ht="42" customHeight="1" x14ac:dyDescent="0.3">
      <c r="A10" s="2" t="s">
        <v>56</v>
      </c>
      <c r="B10" s="2" t="s">
        <v>12</v>
      </c>
      <c r="C10" s="2" t="s">
        <v>13</v>
      </c>
      <c r="D10" s="3" t="s">
        <v>14</v>
      </c>
      <c r="E10" s="2" t="s">
        <v>15</v>
      </c>
      <c r="F10" s="3" t="s">
        <v>16</v>
      </c>
      <c r="G10" s="3" t="s">
        <v>51</v>
      </c>
      <c r="H10" s="4" t="s">
        <v>57</v>
      </c>
      <c r="I10" s="5" t="s">
        <v>58</v>
      </c>
      <c r="J10" s="5" t="s">
        <v>59</v>
      </c>
      <c r="K10" s="5" t="s">
        <v>60</v>
      </c>
    </row>
    <row r="11" spans="1:11" ht="42" customHeight="1" x14ac:dyDescent="0.3">
      <c r="A11" s="2" t="s">
        <v>61</v>
      </c>
      <c r="B11" s="2" t="s">
        <v>12</v>
      </c>
      <c r="C11" s="2" t="s">
        <v>62</v>
      </c>
      <c r="D11" s="3" t="s">
        <v>14</v>
      </c>
      <c r="E11" s="2" t="s">
        <v>15</v>
      </c>
      <c r="F11" s="3" t="s">
        <v>16</v>
      </c>
      <c r="G11" s="3" t="s">
        <v>23</v>
      </c>
      <c r="H11" s="4" t="s">
        <v>63</v>
      </c>
      <c r="I11" s="5" t="s">
        <v>64</v>
      </c>
      <c r="J11" s="5" t="s">
        <v>36</v>
      </c>
      <c r="K11" s="5" t="s">
        <v>32</v>
      </c>
    </row>
    <row r="12" spans="1:11" ht="42" customHeight="1" x14ac:dyDescent="0.3">
      <c r="A12" s="2" t="s">
        <v>65</v>
      </c>
      <c r="B12" s="2" t="s">
        <v>12</v>
      </c>
      <c r="C12" s="2" t="s">
        <v>62</v>
      </c>
      <c r="D12" s="3" t="s">
        <v>14</v>
      </c>
      <c r="E12" s="2" t="s">
        <v>15</v>
      </c>
      <c r="F12" s="3" t="s">
        <v>16</v>
      </c>
      <c r="G12" s="3" t="s">
        <v>23</v>
      </c>
      <c r="H12" s="4" t="s">
        <v>66</v>
      </c>
      <c r="I12" s="5" t="s">
        <v>67</v>
      </c>
      <c r="J12" s="5" t="s">
        <v>36</v>
      </c>
      <c r="K12" s="5" t="s">
        <v>32</v>
      </c>
    </row>
    <row r="13" spans="1:11" ht="42" customHeight="1" x14ac:dyDescent="0.3">
      <c r="A13" s="2" t="s">
        <v>68</v>
      </c>
      <c r="B13" s="2" t="s">
        <v>12</v>
      </c>
      <c r="C13" s="2" t="s">
        <v>62</v>
      </c>
      <c r="D13" s="3" t="s">
        <v>14</v>
      </c>
      <c r="E13" s="2" t="s">
        <v>15</v>
      </c>
      <c r="F13" s="3" t="s">
        <v>16</v>
      </c>
      <c r="G13" s="3" t="s">
        <v>69</v>
      </c>
      <c r="H13" s="4" t="s">
        <v>70</v>
      </c>
      <c r="I13" s="5" t="s">
        <v>71</v>
      </c>
      <c r="J13" s="5" t="s">
        <v>49</v>
      </c>
      <c r="K13" s="5" t="s">
        <v>72</v>
      </c>
    </row>
    <row r="14" spans="1:11" ht="42" customHeight="1" x14ac:dyDescent="0.3">
      <c r="A14" s="2" t="s">
        <v>73</v>
      </c>
      <c r="B14" s="2" t="s">
        <v>12</v>
      </c>
      <c r="C14" s="2" t="s">
        <v>62</v>
      </c>
      <c r="D14" s="3" t="s">
        <v>14</v>
      </c>
      <c r="E14" s="2" t="s">
        <v>15</v>
      </c>
      <c r="F14" s="3" t="s">
        <v>16</v>
      </c>
      <c r="G14" s="3" t="s">
        <v>23</v>
      </c>
      <c r="H14" s="4" t="s">
        <v>74</v>
      </c>
      <c r="I14" s="5" t="s">
        <v>75</v>
      </c>
      <c r="J14" s="5" t="s">
        <v>36</v>
      </c>
      <c r="K14" s="5" t="s">
        <v>76</v>
      </c>
    </row>
    <row r="15" spans="1:11" ht="42" customHeight="1" x14ac:dyDescent="0.3">
      <c r="A15" s="2" t="s">
        <v>77</v>
      </c>
      <c r="B15" s="2" t="s">
        <v>12</v>
      </c>
      <c r="C15" s="2" t="s">
        <v>62</v>
      </c>
      <c r="D15" s="3" t="s">
        <v>14</v>
      </c>
      <c r="E15" s="2" t="s">
        <v>15</v>
      </c>
      <c r="F15" s="3" t="s">
        <v>16</v>
      </c>
      <c r="G15" s="3" t="s">
        <v>41</v>
      </c>
      <c r="H15" s="4" t="s">
        <v>78</v>
      </c>
      <c r="I15" s="5" t="s">
        <v>79</v>
      </c>
      <c r="J15" s="5" t="s">
        <v>44</v>
      </c>
      <c r="K15" s="5" t="s">
        <v>80</v>
      </c>
    </row>
    <row r="16" spans="1:11" ht="42" customHeight="1" x14ac:dyDescent="0.3">
      <c r="A16" s="2" t="s">
        <v>81</v>
      </c>
      <c r="B16" s="2" t="s">
        <v>12</v>
      </c>
      <c r="C16" s="2" t="s">
        <v>82</v>
      </c>
      <c r="D16" s="3" t="s">
        <v>14</v>
      </c>
      <c r="E16" s="2" t="s">
        <v>15</v>
      </c>
      <c r="F16" s="3" t="s">
        <v>16</v>
      </c>
      <c r="G16" s="3" t="s">
        <v>29</v>
      </c>
      <c r="H16" s="4" t="s">
        <v>83</v>
      </c>
      <c r="I16" s="5" t="s">
        <v>84</v>
      </c>
      <c r="J16" s="5" t="s">
        <v>26</v>
      </c>
      <c r="K16" s="5" t="s">
        <v>85</v>
      </c>
    </row>
    <row r="17" spans="1:11" ht="42" customHeight="1" x14ac:dyDescent="0.3">
      <c r="A17" s="2" t="s">
        <v>86</v>
      </c>
      <c r="B17" s="2" t="s">
        <v>12</v>
      </c>
      <c r="C17" s="2" t="s">
        <v>82</v>
      </c>
      <c r="D17" s="3" t="s">
        <v>14</v>
      </c>
      <c r="E17" s="2" t="s">
        <v>15</v>
      </c>
      <c r="F17" s="3" t="s">
        <v>16</v>
      </c>
      <c r="G17" s="3" t="s">
        <v>87</v>
      </c>
      <c r="H17" s="4" t="s">
        <v>88</v>
      </c>
      <c r="I17" s="5" t="s">
        <v>89</v>
      </c>
      <c r="J17" s="5" t="s">
        <v>90</v>
      </c>
      <c r="K17" s="5" t="s">
        <v>60</v>
      </c>
    </row>
    <row r="18" spans="1:11" ht="42" customHeight="1" x14ac:dyDescent="0.3">
      <c r="A18" s="2" t="s">
        <v>91</v>
      </c>
      <c r="B18" s="2" t="s">
        <v>12</v>
      </c>
      <c r="C18" s="2" t="s">
        <v>13</v>
      </c>
      <c r="D18" s="3" t="s">
        <v>14</v>
      </c>
      <c r="E18" s="2" t="s">
        <v>15</v>
      </c>
      <c r="F18" s="3" t="s">
        <v>16</v>
      </c>
      <c r="G18" s="3" t="s">
        <v>92</v>
      </c>
      <c r="H18" s="4" t="s">
        <v>93</v>
      </c>
      <c r="I18" s="5" t="s">
        <v>94</v>
      </c>
      <c r="J18" s="5" t="s">
        <v>95</v>
      </c>
      <c r="K18" s="5" t="s">
        <v>96</v>
      </c>
    </row>
    <row r="19" spans="1:11" ht="42" customHeight="1" x14ac:dyDescent="0.3">
      <c r="A19" s="2" t="s">
        <v>97</v>
      </c>
      <c r="B19" s="2" t="s">
        <v>12</v>
      </c>
      <c r="C19" s="2" t="s">
        <v>13</v>
      </c>
      <c r="D19" s="3" t="s">
        <v>98</v>
      </c>
      <c r="E19" s="2" t="s">
        <v>99</v>
      </c>
      <c r="F19" s="3" t="s">
        <v>100</v>
      </c>
      <c r="G19" s="3" t="s">
        <v>92</v>
      </c>
      <c r="H19" s="4" t="s">
        <v>101</v>
      </c>
      <c r="I19" s="5" t="s">
        <v>102</v>
      </c>
      <c r="J19" s="5" t="s">
        <v>54</v>
      </c>
      <c r="K19" s="5" t="s">
        <v>93</v>
      </c>
    </row>
    <row r="20" spans="1:11" ht="42" customHeight="1" x14ac:dyDescent="0.3">
      <c r="A20" s="2" t="s">
        <v>103</v>
      </c>
      <c r="B20" s="2" t="s">
        <v>12</v>
      </c>
      <c r="C20" s="2" t="s">
        <v>13</v>
      </c>
      <c r="D20" s="3" t="s">
        <v>98</v>
      </c>
      <c r="E20" s="2" t="s">
        <v>99</v>
      </c>
      <c r="F20" s="3" t="s">
        <v>100</v>
      </c>
      <c r="G20" s="3" t="s">
        <v>23</v>
      </c>
      <c r="H20" s="4" t="s">
        <v>104</v>
      </c>
      <c r="I20" s="5" t="s">
        <v>105</v>
      </c>
      <c r="J20" s="5" t="s">
        <v>26</v>
      </c>
      <c r="K20" s="5" t="s">
        <v>106</v>
      </c>
    </row>
    <row r="21" spans="1:11" ht="42" customHeight="1" x14ac:dyDescent="0.3">
      <c r="A21" s="2" t="s">
        <v>107</v>
      </c>
      <c r="B21" s="2" t="s">
        <v>12</v>
      </c>
      <c r="C21" s="2" t="s">
        <v>13</v>
      </c>
      <c r="D21" s="3" t="s">
        <v>98</v>
      </c>
      <c r="E21" s="2" t="s">
        <v>99</v>
      </c>
      <c r="F21" s="3" t="s">
        <v>100</v>
      </c>
      <c r="G21" s="3" t="s">
        <v>41</v>
      </c>
      <c r="H21" s="4" t="s">
        <v>108</v>
      </c>
      <c r="I21" s="5" t="s">
        <v>109</v>
      </c>
      <c r="J21" s="5" t="s">
        <v>44</v>
      </c>
      <c r="K21" s="5" t="s">
        <v>55</v>
      </c>
    </row>
    <row r="22" spans="1:11" ht="42" customHeight="1" x14ac:dyDescent="0.3">
      <c r="A22" s="2" t="s">
        <v>110</v>
      </c>
      <c r="B22" s="2" t="s">
        <v>12</v>
      </c>
      <c r="C22" s="2" t="s">
        <v>13</v>
      </c>
      <c r="D22" s="3" t="s">
        <v>98</v>
      </c>
      <c r="E22" s="2" t="s">
        <v>99</v>
      </c>
      <c r="F22" s="3" t="s">
        <v>100</v>
      </c>
      <c r="G22" s="3" t="s">
        <v>51</v>
      </c>
      <c r="H22" s="4" t="s">
        <v>111</v>
      </c>
      <c r="I22" s="5" t="s">
        <v>112</v>
      </c>
      <c r="J22" s="5" t="s">
        <v>113</v>
      </c>
      <c r="K22" s="5" t="s">
        <v>114</v>
      </c>
    </row>
    <row r="23" spans="1:11" ht="42" customHeight="1" x14ac:dyDescent="0.3">
      <c r="A23" s="2" t="s">
        <v>115</v>
      </c>
      <c r="B23" s="2" t="s">
        <v>12</v>
      </c>
      <c r="C23" s="2" t="s">
        <v>62</v>
      </c>
      <c r="D23" s="3" t="s">
        <v>98</v>
      </c>
      <c r="E23" s="2" t="s">
        <v>99</v>
      </c>
      <c r="F23" s="3" t="s">
        <v>100</v>
      </c>
      <c r="G23" s="3" t="s">
        <v>23</v>
      </c>
      <c r="H23" s="4" t="s">
        <v>116</v>
      </c>
      <c r="I23" s="5" t="s">
        <v>117</v>
      </c>
      <c r="J23" s="5" t="s">
        <v>36</v>
      </c>
      <c r="K23" s="5" t="s">
        <v>32</v>
      </c>
    </row>
    <row r="24" spans="1:11" ht="42" customHeight="1" x14ac:dyDescent="0.3">
      <c r="A24" s="2" t="s">
        <v>118</v>
      </c>
      <c r="B24" s="2" t="s">
        <v>12</v>
      </c>
      <c r="C24" s="2" t="s">
        <v>62</v>
      </c>
      <c r="D24" s="3" t="s">
        <v>98</v>
      </c>
      <c r="E24" s="2" t="s">
        <v>99</v>
      </c>
      <c r="F24" s="3" t="s">
        <v>100</v>
      </c>
      <c r="G24" s="3" t="s">
        <v>23</v>
      </c>
      <c r="H24" s="4" t="s">
        <v>119</v>
      </c>
      <c r="I24" s="5" t="s">
        <v>120</v>
      </c>
      <c r="J24" s="5" t="s">
        <v>36</v>
      </c>
      <c r="K24" s="5" t="s">
        <v>34</v>
      </c>
    </row>
    <row r="25" spans="1:11" ht="42" customHeight="1" x14ac:dyDescent="0.3">
      <c r="A25" s="2" t="s">
        <v>121</v>
      </c>
      <c r="B25" s="2" t="s">
        <v>12</v>
      </c>
      <c r="C25" s="2" t="s">
        <v>62</v>
      </c>
      <c r="D25" s="3" t="s">
        <v>98</v>
      </c>
      <c r="E25" s="2" t="s">
        <v>99</v>
      </c>
      <c r="F25" s="3" t="s">
        <v>100</v>
      </c>
      <c r="G25" s="3" t="s">
        <v>46</v>
      </c>
      <c r="H25" s="4" t="s">
        <v>122</v>
      </c>
      <c r="I25" s="5" t="s">
        <v>123</v>
      </c>
      <c r="J25" s="5" t="s">
        <v>49</v>
      </c>
      <c r="K25" s="5" t="s">
        <v>72</v>
      </c>
    </row>
    <row r="26" spans="1:11" ht="42" customHeight="1" x14ac:dyDescent="0.3">
      <c r="A26" s="2" t="s">
        <v>124</v>
      </c>
      <c r="B26" s="2" t="s">
        <v>12</v>
      </c>
      <c r="C26" s="2" t="s">
        <v>13</v>
      </c>
      <c r="D26" s="3" t="s">
        <v>98</v>
      </c>
      <c r="E26" s="2" t="s">
        <v>99</v>
      </c>
      <c r="F26" s="3" t="s">
        <v>100</v>
      </c>
      <c r="G26" s="3" t="s">
        <v>87</v>
      </c>
      <c r="H26" s="4" t="s">
        <v>125</v>
      </c>
      <c r="I26" s="5" t="s">
        <v>126</v>
      </c>
      <c r="J26" s="5" t="s">
        <v>90</v>
      </c>
      <c r="K26" s="5" t="s">
        <v>127</v>
      </c>
    </row>
    <row r="27" spans="1:11" ht="42" customHeight="1" x14ac:dyDescent="0.3">
      <c r="A27" s="2" t="s">
        <v>128</v>
      </c>
      <c r="B27" s="2" t="s">
        <v>12</v>
      </c>
      <c r="C27" s="2" t="s">
        <v>62</v>
      </c>
      <c r="D27" s="3" t="s">
        <v>98</v>
      </c>
      <c r="E27" s="2" t="s">
        <v>99</v>
      </c>
      <c r="F27" s="3" t="s">
        <v>100</v>
      </c>
      <c r="G27" s="3" t="s">
        <v>129</v>
      </c>
      <c r="H27" s="4" t="s">
        <v>130</v>
      </c>
      <c r="I27" s="5" t="s">
        <v>131</v>
      </c>
      <c r="J27" s="5" t="s">
        <v>49</v>
      </c>
      <c r="K27" s="5" t="s">
        <v>21</v>
      </c>
    </row>
    <row r="28" spans="1:11" ht="42" customHeight="1" x14ac:dyDescent="0.3">
      <c r="A28" s="2" t="s">
        <v>132</v>
      </c>
      <c r="B28" s="2" t="s">
        <v>12</v>
      </c>
      <c r="C28" s="2" t="s">
        <v>62</v>
      </c>
      <c r="D28" s="3" t="s">
        <v>98</v>
      </c>
      <c r="E28" s="2" t="s">
        <v>99</v>
      </c>
      <c r="F28" s="3" t="s">
        <v>100</v>
      </c>
      <c r="G28" s="3" t="s">
        <v>133</v>
      </c>
      <c r="H28" s="4" t="s">
        <v>134</v>
      </c>
      <c r="I28" s="5" t="s">
        <v>135</v>
      </c>
      <c r="J28" s="5" t="s">
        <v>44</v>
      </c>
      <c r="K28" s="5" t="s">
        <v>136</v>
      </c>
    </row>
    <row r="29" spans="1:11" ht="42" customHeight="1" x14ac:dyDescent="0.3">
      <c r="A29" s="2" t="s">
        <v>137</v>
      </c>
      <c r="B29" s="2" t="s">
        <v>12</v>
      </c>
      <c r="C29" s="2" t="s">
        <v>62</v>
      </c>
      <c r="D29" s="3" t="s">
        <v>98</v>
      </c>
      <c r="E29" s="2" t="s">
        <v>99</v>
      </c>
      <c r="F29" s="3" t="s">
        <v>100</v>
      </c>
      <c r="G29" s="3" t="s">
        <v>133</v>
      </c>
      <c r="H29" s="4" t="s">
        <v>138</v>
      </c>
      <c r="I29" s="5" t="s">
        <v>139</v>
      </c>
      <c r="J29" s="5" t="s">
        <v>59</v>
      </c>
      <c r="K29" s="5" t="s">
        <v>136</v>
      </c>
    </row>
    <row r="30" spans="1:11" ht="42" customHeight="1" x14ac:dyDescent="0.3">
      <c r="A30" s="2" t="s">
        <v>140</v>
      </c>
      <c r="B30" s="2" t="s">
        <v>12</v>
      </c>
      <c r="C30" s="2" t="s">
        <v>82</v>
      </c>
      <c r="D30" s="3" t="s">
        <v>98</v>
      </c>
      <c r="E30" s="2" t="s">
        <v>99</v>
      </c>
      <c r="F30" s="3" t="s">
        <v>100</v>
      </c>
      <c r="G30" s="3" t="s">
        <v>141</v>
      </c>
      <c r="H30" s="4" t="s">
        <v>142</v>
      </c>
      <c r="I30" s="5" t="s">
        <v>143</v>
      </c>
      <c r="J30" s="5" t="s">
        <v>20</v>
      </c>
      <c r="K30" s="5" t="s">
        <v>136</v>
      </c>
    </row>
    <row r="31" spans="1:11" ht="42" customHeight="1" x14ac:dyDescent="0.3">
      <c r="A31" s="2" t="s">
        <v>144</v>
      </c>
      <c r="B31" s="2" t="s">
        <v>12</v>
      </c>
      <c r="C31" s="2" t="s">
        <v>82</v>
      </c>
      <c r="D31" s="3" t="s">
        <v>98</v>
      </c>
      <c r="E31" s="2" t="s">
        <v>99</v>
      </c>
      <c r="F31" s="3" t="s">
        <v>100</v>
      </c>
      <c r="G31" s="3" t="s">
        <v>87</v>
      </c>
      <c r="H31" s="4" t="s">
        <v>145</v>
      </c>
      <c r="I31" s="5" t="s">
        <v>146</v>
      </c>
      <c r="J31" s="5" t="s">
        <v>147</v>
      </c>
      <c r="K31" s="5" t="s">
        <v>21</v>
      </c>
    </row>
    <row r="32" spans="1:11" ht="42" customHeight="1" x14ac:dyDescent="0.3">
      <c r="A32" s="2" t="s">
        <v>148</v>
      </c>
      <c r="B32" s="2" t="s">
        <v>12</v>
      </c>
      <c r="C32" s="2" t="s">
        <v>13</v>
      </c>
      <c r="D32" s="3" t="s">
        <v>98</v>
      </c>
      <c r="E32" s="2" t="s">
        <v>149</v>
      </c>
      <c r="F32" s="3" t="s">
        <v>150</v>
      </c>
      <c r="G32" s="3" t="s">
        <v>69</v>
      </c>
      <c r="H32" s="4" t="s">
        <v>151</v>
      </c>
      <c r="I32" s="5" t="s">
        <v>152</v>
      </c>
      <c r="J32" s="5" t="s">
        <v>49</v>
      </c>
      <c r="K32" s="5" t="s">
        <v>153</v>
      </c>
    </row>
    <row r="33" spans="1:11" ht="42" customHeight="1" x14ac:dyDescent="0.3">
      <c r="A33" s="2" t="s">
        <v>154</v>
      </c>
      <c r="B33" s="2" t="s">
        <v>12</v>
      </c>
      <c r="C33" s="2" t="s">
        <v>13</v>
      </c>
      <c r="D33" s="3" t="s">
        <v>98</v>
      </c>
      <c r="E33" s="2" t="s">
        <v>149</v>
      </c>
      <c r="F33" s="3" t="s">
        <v>150</v>
      </c>
      <c r="G33" s="3" t="s">
        <v>69</v>
      </c>
      <c r="H33" s="4" t="s">
        <v>155</v>
      </c>
      <c r="I33" s="5" t="s">
        <v>156</v>
      </c>
      <c r="J33" s="5" t="s">
        <v>157</v>
      </c>
      <c r="K33" s="5" t="s">
        <v>158</v>
      </c>
    </row>
    <row r="34" spans="1:11" ht="42" customHeight="1" x14ac:dyDescent="0.3">
      <c r="A34" s="2" t="s">
        <v>159</v>
      </c>
      <c r="B34" s="2" t="s">
        <v>12</v>
      </c>
      <c r="C34" s="2" t="s">
        <v>13</v>
      </c>
      <c r="D34" s="3" t="s">
        <v>98</v>
      </c>
      <c r="E34" s="2" t="s">
        <v>149</v>
      </c>
      <c r="F34" s="3" t="s">
        <v>150</v>
      </c>
      <c r="G34" s="3" t="s">
        <v>51</v>
      </c>
      <c r="H34" s="4" t="s">
        <v>160</v>
      </c>
      <c r="I34" s="5" t="s">
        <v>161</v>
      </c>
      <c r="J34" s="5" t="s">
        <v>59</v>
      </c>
      <c r="K34" s="5" t="s">
        <v>162</v>
      </c>
    </row>
    <row r="35" spans="1:11" ht="42" customHeight="1" x14ac:dyDescent="0.3">
      <c r="A35" s="2" t="s">
        <v>163</v>
      </c>
      <c r="B35" s="2" t="s">
        <v>12</v>
      </c>
      <c r="C35" s="2" t="s">
        <v>13</v>
      </c>
      <c r="D35" s="3" t="s">
        <v>98</v>
      </c>
      <c r="E35" s="2" t="s">
        <v>149</v>
      </c>
      <c r="F35" s="3" t="s">
        <v>150</v>
      </c>
      <c r="G35" s="3" t="s">
        <v>164</v>
      </c>
      <c r="H35" s="4" t="s">
        <v>165</v>
      </c>
      <c r="I35" s="5" t="s">
        <v>166</v>
      </c>
      <c r="J35" s="5" t="s">
        <v>26</v>
      </c>
      <c r="K35" s="5" t="s">
        <v>167</v>
      </c>
    </row>
    <row r="36" spans="1:11" ht="42" customHeight="1" x14ac:dyDescent="0.3">
      <c r="A36" s="2" t="s">
        <v>168</v>
      </c>
      <c r="B36" s="2" t="s">
        <v>12</v>
      </c>
      <c r="C36" s="2" t="s">
        <v>62</v>
      </c>
      <c r="D36" s="3" t="s">
        <v>98</v>
      </c>
      <c r="E36" s="2" t="s">
        <v>149</v>
      </c>
      <c r="F36" s="3" t="s">
        <v>150</v>
      </c>
      <c r="G36" s="3" t="s">
        <v>87</v>
      </c>
      <c r="H36" s="4" t="s">
        <v>169</v>
      </c>
      <c r="I36" s="5" t="s">
        <v>170</v>
      </c>
      <c r="J36" s="5" t="s">
        <v>90</v>
      </c>
      <c r="K36" s="5" t="s">
        <v>171</v>
      </c>
    </row>
    <row r="37" spans="1:11" ht="42" customHeight="1" x14ac:dyDescent="0.3">
      <c r="A37" s="2" t="s">
        <v>172</v>
      </c>
      <c r="B37" s="2" t="s">
        <v>12</v>
      </c>
      <c r="C37" s="2" t="s">
        <v>62</v>
      </c>
      <c r="D37" s="3" t="s">
        <v>98</v>
      </c>
      <c r="E37" s="2" t="s">
        <v>149</v>
      </c>
      <c r="F37" s="3" t="s">
        <v>150</v>
      </c>
      <c r="G37" s="3" t="s">
        <v>133</v>
      </c>
      <c r="H37" s="4" t="s">
        <v>173</v>
      </c>
      <c r="I37" s="5" t="s">
        <v>174</v>
      </c>
      <c r="J37" s="5" t="s">
        <v>44</v>
      </c>
      <c r="K37" s="5" t="s">
        <v>136</v>
      </c>
    </row>
    <row r="38" spans="1:11" ht="42" customHeight="1" x14ac:dyDescent="0.3">
      <c r="A38" s="2" t="s">
        <v>175</v>
      </c>
      <c r="B38" s="2" t="s">
        <v>12</v>
      </c>
      <c r="C38" s="2" t="s">
        <v>62</v>
      </c>
      <c r="D38" s="3" t="s">
        <v>98</v>
      </c>
      <c r="E38" s="2" t="s">
        <v>149</v>
      </c>
      <c r="F38" s="3" t="s">
        <v>150</v>
      </c>
      <c r="G38" s="3" t="s">
        <v>133</v>
      </c>
      <c r="H38" s="4" t="s">
        <v>176</v>
      </c>
      <c r="I38" s="5" t="s">
        <v>177</v>
      </c>
      <c r="J38" s="5" t="s">
        <v>178</v>
      </c>
      <c r="K38" s="5" t="s">
        <v>136</v>
      </c>
    </row>
    <row r="39" spans="1:11" ht="42" customHeight="1" x14ac:dyDescent="0.3">
      <c r="A39" s="2" t="s">
        <v>179</v>
      </c>
      <c r="B39" s="2" t="s">
        <v>12</v>
      </c>
      <c r="C39" s="2" t="s">
        <v>62</v>
      </c>
      <c r="D39" s="3" t="s">
        <v>98</v>
      </c>
      <c r="E39" s="2" t="s">
        <v>149</v>
      </c>
      <c r="F39" s="3" t="s">
        <v>150</v>
      </c>
      <c r="G39" s="3" t="s">
        <v>133</v>
      </c>
      <c r="H39" s="4" t="s">
        <v>180</v>
      </c>
      <c r="I39" s="5" t="s">
        <v>181</v>
      </c>
      <c r="J39" s="5" t="s">
        <v>90</v>
      </c>
      <c r="K39" s="5" t="s">
        <v>182</v>
      </c>
    </row>
    <row r="40" spans="1:11" ht="42" customHeight="1" x14ac:dyDescent="0.3">
      <c r="A40" s="2" t="s">
        <v>183</v>
      </c>
      <c r="B40" s="2" t="s">
        <v>12</v>
      </c>
      <c r="C40" s="2" t="s">
        <v>62</v>
      </c>
      <c r="D40" s="3" t="s">
        <v>98</v>
      </c>
      <c r="E40" s="2" t="s">
        <v>149</v>
      </c>
      <c r="F40" s="3" t="s">
        <v>150</v>
      </c>
      <c r="G40" s="3" t="s">
        <v>23</v>
      </c>
      <c r="H40" s="4" t="s">
        <v>184</v>
      </c>
      <c r="I40" s="5" t="s">
        <v>185</v>
      </c>
      <c r="J40" s="5" t="s">
        <v>36</v>
      </c>
      <c r="K40" s="5" t="s">
        <v>186</v>
      </c>
    </row>
    <row r="41" spans="1:11" ht="42" customHeight="1" x14ac:dyDescent="0.3">
      <c r="A41" s="2" t="s">
        <v>187</v>
      </c>
      <c r="B41" s="2" t="s">
        <v>12</v>
      </c>
      <c r="C41" s="2" t="s">
        <v>62</v>
      </c>
      <c r="D41" s="3" t="s">
        <v>98</v>
      </c>
      <c r="E41" s="2" t="s">
        <v>149</v>
      </c>
      <c r="F41" s="3" t="s">
        <v>150</v>
      </c>
      <c r="G41" s="3" t="s">
        <v>141</v>
      </c>
      <c r="H41" s="4" t="s">
        <v>188</v>
      </c>
      <c r="I41" s="5" t="s">
        <v>189</v>
      </c>
      <c r="J41" s="5" t="s">
        <v>20</v>
      </c>
      <c r="K41" s="5" t="s">
        <v>21</v>
      </c>
    </row>
    <row r="42" spans="1:11" ht="42" customHeight="1" x14ac:dyDescent="0.3">
      <c r="A42" s="2" t="s">
        <v>190</v>
      </c>
      <c r="B42" s="2" t="s">
        <v>12</v>
      </c>
      <c r="C42" s="2" t="s">
        <v>82</v>
      </c>
      <c r="D42" s="3" t="s">
        <v>98</v>
      </c>
      <c r="E42" s="2" t="s">
        <v>149</v>
      </c>
      <c r="F42" s="3" t="s">
        <v>150</v>
      </c>
      <c r="G42" s="3" t="s">
        <v>46</v>
      </c>
      <c r="H42" s="4" t="s">
        <v>191</v>
      </c>
      <c r="I42" s="5" t="s">
        <v>192</v>
      </c>
      <c r="J42" s="5" t="s">
        <v>49</v>
      </c>
      <c r="K42" s="5" t="s">
        <v>153</v>
      </c>
    </row>
    <row r="43" spans="1:11" ht="42" customHeight="1" x14ac:dyDescent="0.3">
      <c r="A43" s="2" t="s">
        <v>193</v>
      </c>
      <c r="B43" s="2" t="s">
        <v>12</v>
      </c>
      <c r="C43" s="2" t="s">
        <v>82</v>
      </c>
      <c r="D43" s="3" t="s">
        <v>98</v>
      </c>
      <c r="E43" s="2" t="s">
        <v>149</v>
      </c>
      <c r="F43" s="3" t="s">
        <v>150</v>
      </c>
      <c r="G43" s="3" t="s">
        <v>133</v>
      </c>
      <c r="H43" s="4" t="s">
        <v>194</v>
      </c>
      <c r="I43" s="5" t="s">
        <v>195</v>
      </c>
      <c r="J43" s="5" t="s">
        <v>59</v>
      </c>
      <c r="K43" s="5" t="s">
        <v>136</v>
      </c>
    </row>
    <row r="44" spans="1:11" ht="42" customHeight="1" x14ac:dyDescent="0.3">
      <c r="A44" s="2" t="s">
        <v>196</v>
      </c>
      <c r="B44" s="2" t="s">
        <v>12</v>
      </c>
      <c r="C44" s="2" t="s">
        <v>13</v>
      </c>
      <c r="D44" s="3" t="s">
        <v>98</v>
      </c>
      <c r="E44" s="2" t="s">
        <v>197</v>
      </c>
      <c r="F44" s="3" t="s">
        <v>198</v>
      </c>
      <c r="G44" s="3" t="s">
        <v>51</v>
      </c>
      <c r="H44" s="4" t="s">
        <v>199</v>
      </c>
      <c r="I44" s="5" t="s">
        <v>200</v>
      </c>
      <c r="J44" s="5" t="s">
        <v>54</v>
      </c>
      <c r="K44" s="5" t="s">
        <v>21</v>
      </c>
    </row>
    <row r="45" spans="1:11" ht="42" customHeight="1" x14ac:dyDescent="0.3">
      <c r="A45" s="2" t="s">
        <v>201</v>
      </c>
      <c r="B45" s="2" t="s">
        <v>12</v>
      </c>
      <c r="C45" s="2" t="s">
        <v>13</v>
      </c>
      <c r="D45" s="3" t="s">
        <v>98</v>
      </c>
      <c r="E45" s="2" t="s">
        <v>197</v>
      </c>
      <c r="F45" s="3" t="s">
        <v>198</v>
      </c>
      <c r="G45" s="3" t="s">
        <v>202</v>
      </c>
      <c r="H45" s="4" t="s">
        <v>203</v>
      </c>
      <c r="I45" s="5" t="s">
        <v>204</v>
      </c>
      <c r="J45" s="5" t="s">
        <v>205</v>
      </c>
      <c r="K45" s="5" t="s">
        <v>206</v>
      </c>
    </row>
    <row r="46" spans="1:11" ht="42" customHeight="1" x14ac:dyDescent="0.3">
      <c r="A46" s="2" t="s">
        <v>207</v>
      </c>
      <c r="B46" s="2" t="s">
        <v>12</v>
      </c>
      <c r="C46" s="2" t="s">
        <v>13</v>
      </c>
      <c r="D46" s="3" t="s">
        <v>98</v>
      </c>
      <c r="E46" s="2" t="s">
        <v>197</v>
      </c>
      <c r="F46" s="3" t="s">
        <v>198</v>
      </c>
      <c r="G46" s="3" t="s">
        <v>202</v>
      </c>
      <c r="H46" s="4" t="s">
        <v>208</v>
      </c>
      <c r="I46" s="5" t="s">
        <v>209</v>
      </c>
      <c r="J46" s="5" t="s">
        <v>210</v>
      </c>
      <c r="K46" s="5" t="s">
        <v>206</v>
      </c>
    </row>
    <row r="47" spans="1:11" ht="42" customHeight="1" x14ac:dyDescent="0.3">
      <c r="A47" s="2" t="s">
        <v>211</v>
      </c>
      <c r="B47" s="2" t="s">
        <v>12</v>
      </c>
      <c r="C47" s="2" t="s">
        <v>13</v>
      </c>
      <c r="D47" s="3" t="s">
        <v>98</v>
      </c>
      <c r="E47" s="2" t="s">
        <v>197</v>
      </c>
      <c r="F47" s="3" t="s">
        <v>198</v>
      </c>
      <c r="G47" s="3" t="s">
        <v>202</v>
      </c>
      <c r="H47" s="4" t="s">
        <v>212</v>
      </c>
      <c r="I47" s="5" t="s">
        <v>213</v>
      </c>
      <c r="J47" s="5" t="s">
        <v>214</v>
      </c>
      <c r="K47" s="5" t="s">
        <v>215</v>
      </c>
    </row>
    <row r="48" spans="1:11" ht="42" customHeight="1" x14ac:dyDescent="0.3">
      <c r="A48" s="2" t="s">
        <v>216</v>
      </c>
      <c r="B48" s="2" t="s">
        <v>12</v>
      </c>
      <c r="C48" s="2" t="s">
        <v>13</v>
      </c>
      <c r="D48" s="3" t="s">
        <v>98</v>
      </c>
      <c r="E48" s="2" t="s">
        <v>197</v>
      </c>
      <c r="F48" s="3" t="s">
        <v>198</v>
      </c>
      <c r="G48" s="3" t="s">
        <v>133</v>
      </c>
      <c r="H48" s="4" t="s">
        <v>217</v>
      </c>
      <c r="I48" s="5" t="s">
        <v>218</v>
      </c>
      <c r="J48" s="5" t="s">
        <v>44</v>
      </c>
      <c r="K48" s="5" t="s">
        <v>219</v>
      </c>
    </row>
    <row r="49" spans="1:11" ht="42" customHeight="1" x14ac:dyDescent="0.3">
      <c r="A49" s="2" t="s">
        <v>220</v>
      </c>
      <c r="B49" s="2" t="s">
        <v>12</v>
      </c>
      <c r="C49" s="2" t="s">
        <v>13</v>
      </c>
      <c r="D49" s="3" t="s">
        <v>98</v>
      </c>
      <c r="E49" s="2" t="s">
        <v>197</v>
      </c>
      <c r="F49" s="3" t="s">
        <v>198</v>
      </c>
      <c r="G49" s="3" t="s">
        <v>69</v>
      </c>
      <c r="H49" s="4" t="s">
        <v>221</v>
      </c>
      <c r="I49" s="5" t="s">
        <v>222</v>
      </c>
      <c r="J49" s="5" t="s">
        <v>49</v>
      </c>
      <c r="K49" s="5" t="s">
        <v>223</v>
      </c>
    </row>
    <row r="50" spans="1:11" ht="42" customHeight="1" x14ac:dyDescent="0.3">
      <c r="A50" s="2" t="s">
        <v>224</v>
      </c>
      <c r="B50" s="2" t="s">
        <v>12</v>
      </c>
      <c r="C50" s="2" t="s">
        <v>62</v>
      </c>
      <c r="D50" s="3" t="s">
        <v>98</v>
      </c>
      <c r="E50" s="2" t="s">
        <v>197</v>
      </c>
      <c r="F50" s="3" t="s">
        <v>198</v>
      </c>
      <c r="G50" s="3" t="s">
        <v>87</v>
      </c>
      <c r="H50" s="4" t="s">
        <v>225</v>
      </c>
      <c r="I50" s="5" t="s">
        <v>226</v>
      </c>
      <c r="J50" s="5" t="s">
        <v>90</v>
      </c>
      <c r="K50" s="5" t="s">
        <v>227</v>
      </c>
    </row>
    <row r="51" spans="1:11" ht="42" customHeight="1" x14ac:dyDescent="0.3">
      <c r="A51" s="2" t="s">
        <v>228</v>
      </c>
      <c r="B51" s="2" t="s">
        <v>12</v>
      </c>
      <c r="C51" s="2" t="s">
        <v>62</v>
      </c>
      <c r="D51" s="3" t="s">
        <v>98</v>
      </c>
      <c r="E51" s="2" t="s">
        <v>197</v>
      </c>
      <c r="F51" s="3" t="s">
        <v>198</v>
      </c>
      <c r="G51" s="3" t="s">
        <v>133</v>
      </c>
      <c r="H51" s="4" t="s">
        <v>229</v>
      </c>
      <c r="I51" s="5" t="s">
        <v>230</v>
      </c>
      <c r="J51" s="5" t="s">
        <v>59</v>
      </c>
      <c r="K51" s="5" t="s">
        <v>136</v>
      </c>
    </row>
    <row r="52" spans="1:11" ht="42" customHeight="1" x14ac:dyDescent="0.3">
      <c r="A52" s="2" t="s">
        <v>231</v>
      </c>
      <c r="B52" s="2" t="s">
        <v>12</v>
      </c>
      <c r="C52" s="2" t="s">
        <v>62</v>
      </c>
      <c r="D52" s="3" t="s">
        <v>98</v>
      </c>
      <c r="E52" s="2" t="s">
        <v>197</v>
      </c>
      <c r="F52" s="3" t="s">
        <v>198</v>
      </c>
      <c r="G52" s="3" t="s">
        <v>133</v>
      </c>
      <c r="H52" s="4" t="s">
        <v>232</v>
      </c>
      <c r="I52" s="5" t="s">
        <v>233</v>
      </c>
      <c r="J52" s="5" t="s">
        <v>234</v>
      </c>
      <c r="K52" s="5" t="s">
        <v>136</v>
      </c>
    </row>
    <row r="53" spans="1:11" ht="42" customHeight="1" x14ac:dyDescent="0.3">
      <c r="A53" s="2" t="s">
        <v>235</v>
      </c>
      <c r="B53" s="2" t="s">
        <v>12</v>
      </c>
      <c r="C53" s="2" t="s">
        <v>82</v>
      </c>
      <c r="D53" s="3" t="s">
        <v>98</v>
      </c>
      <c r="E53" s="2" t="s">
        <v>197</v>
      </c>
      <c r="F53" s="3" t="s">
        <v>198</v>
      </c>
      <c r="G53" s="3" t="s">
        <v>141</v>
      </c>
      <c r="H53" s="4" t="s">
        <v>236</v>
      </c>
      <c r="I53" s="5" t="s">
        <v>237</v>
      </c>
      <c r="J53" s="5" t="s">
        <v>20</v>
      </c>
      <c r="K53" s="5" t="s">
        <v>238</v>
      </c>
    </row>
    <row r="54" spans="1:11" ht="42" customHeight="1" x14ac:dyDescent="0.3">
      <c r="A54" s="2" t="s">
        <v>239</v>
      </c>
      <c r="B54" s="2" t="s">
        <v>12</v>
      </c>
      <c r="C54" s="2" t="s">
        <v>82</v>
      </c>
      <c r="D54" s="3" t="s">
        <v>98</v>
      </c>
      <c r="E54" s="2" t="s">
        <v>197</v>
      </c>
      <c r="F54" s="3" t="s">
        <v>198</v>
      </c>
      <c r="G54" s="3" t="s">
        <v>240</v>
      </c>
      <c r="H54" s="4" t="s">
        <v>241</v>
      </c>
      <c r="I54" s="5" t="s">
        <v>242</v>
      </c>
      <c r="J54" s="5" t="s">
        <v>26</v>
      </c>
      <c r="K54" s="5" t="s">
        <v>243</v>
      </c>
    </row>
    <row r="55" spans="1:11" ht="42" customHeight="1" x14ac:dyDescent="0.3">
      <c r="A55" s="2" t="s">
        <v>244</v>
      </c>
      <c r="B55" s="2" t="s">
        <v>12</v>
      </c>
      <c r="C55" s="2" t="s">
        <v>13</v>
      </c>
      <c r="D55" s="3" t="s">
        <v>245</v>
      </c>
      <c r="E55" s="2" t="s">
        <v>246</v>
      </c>
      <c r="F55" s="3" t="s">
        <v>247</v>
      </c>
      <c r="G55" s="3" t="s">
        <v>164</v>
      </c>
      <c r="H55" s="4" t="s">
        <v>248</v>
      </c>
      <c r="I55" s="5" t="s">
        <v>249</v>
      </c>
      <c r="J55" s="5" t="s">
        <v>26</v>
      </c>
      <c r="K55" s="5" t="s">
        <v>167</v>
      </c>
    </row>
    <row r="56" spans="1:11" ht="42" customHeight="1" x14ac:dyDescent="0.3">
      <c r="A56" s="2" t="s">
        <v>250</v>
      </c>
      <c r="B56" s="2" t="s">
        <v>12</v>
      </c>
      <c r="C56" s="2" t="s">
        <v>13</v>
      </c>
      <c r="D56" s="3" t="s">
        <v>245</v>
      </c>
      <c r="E56" s="2" t="s">
        <v>246</v>
      </c>
      <c r="F56" s="3" t="s">
        <v>247</v>
      </c>
      <c r="G56" s="3" t="s">
        <v>251</v>
      </c>
      <c r="H56" s="4" t="s">
        <v>252</v>
      </c>
      <c r="I56" s="5" t="s">
        <v>253</v>
      </c>
      <c r="J56" s="5" t="s">
        <v>254</v>
      </c>
      <c r="K56" s="5" t="s">
        <v>255</v>
      </c>
    </row>
    <row r="57" spans="1:11" ht="42" customHeight="1" x14ac:dyDescent="0.3">
      <c r="A57" s="2" t="s">
        <v>256</v>
      </c>
      <c r="B57" s="2" t="s">
        <v>12</v>
      </c>
      <c r="C57" s="2" t="s">
        <v>13</v>
      </c>
      <c r="D57" s="3" t="s">
        <v>245</v>
      </c>
      <c r="E57" s="2" t="s">
        <v>246</v>
      </c>
      <c r="F57" s="3" t="s">
        <v>247</v>
      </c>
      <c r="G57" s="3" t="s">
        <v>23</v>
      </c>
      <c r="H57" s="4" t="s">
        <v>257</v>
      </c>
      <c r="I57" s="5" t="s">
        <v>258</v>
      </c>
      <c r="J57" s="5" t="s">
        <v>259</v>
      </c>
      <c r="K57" s="5" t="s">
        <v>104</v>
      </c>
    </row>
    <row r="58" spans="1:11" ht="42" customHeight="1" x14ac:dyDescent="0.3">
      <c r="A58" s="2" t="s">
        <v>260</v>
      </c>
      <c r="B58" s="2" t="s">
        <v>12</v>
      </c>
      <c r="C58" s="2" t="s">
        <v>13</v>
      </c>
      <c r="D58" s="3" t="s">
        <v>245</v>
      </c>
      <c r="E58" s="2" t="s">
        <v>246</v>
      </c>
      <c r="F58" s="3" t="s">
        <v>247</v>
      </c>
      <c r="G58" s="3" t="s">
        <v>261</v>
      </c>
      <c r="H58" s="4" t="s">
        <v>262</v>
      </c>
      <c r="I58" s="5" t="s">
        <v>263</v>
      </c>
      <c r="J58" s="5" t="s">
        <v>20</v>
      </c>
      <c r="K58" s="5" t="s">
        <v>264</v>
      </c>
    </row>
    <row r="59" spans="1:11" ht="42" customHeight="1" x14ac:dyDescent="0.3">
      <c r="A59" s="2" t="s">
        <v>265</v>
      </c>
      <c r="B59" s="2" t="s">
        <v>12</v>
      </c>
      <c r="C59" s="2" t="s">
        <v>62</v>
      </c>
      <c r="D59" s="3" t="s">
        <v>245</v>
      </c>
      <c r="E59" s="2" t="s">
        <v>246</v>
      </c>
      <c r="F59" s="3" t="s">
        <v>247</v>
      </c>
      <c r="G59" s="3" t="s">
        <v>46</v>
      </c>
      <c r="H59" s="4" t="s">
        <v>266</v>
      </c>
      <c r="I59" s="5" t="s">
        <v>267</v>
      </c>
      <c r="J59" s="5" t="s">
        <v>49</v>
      </c>
      <c r="K59" s="5" t="s">
        <v>153</v>
      </c>
    </row>
    <row r="60" spans="1:11" ht="42" customHeight="1" x14ac:dyDescent="0.3">
      <c r="A60" s="2" t="s">
        <v>268</v>
      </c>
      <c r="B60" s="2" t="s">
        <v>12</v>
      </c>
      <c r="C60" s="2" t="s">
        <v>62</v>
      </c>
      <c r="D60" s="3" t="s">
        <v>245</v>
      </c>
      <c r="E60" s="2" t="s">
        <v>246</v>
      </c>
      <c r="F60" s="3" t="s">
        <v>247</v>
      </c>
      <c r="G60" s="3" t="s">
        <v>87</v>
      </c>
      <c r="H60" s="4" t="s">
        <v>269</v>
      </c>
      <c r="I60" s="5" t="s">
        <v>270</v>
      </c>
      <c r="J60" s="5" t="s">
        <v>90</v>
      </c>
      <c r="K60" s="5" t="s">
        <v>271</v>
      </c>
    </row>
    <row r="61" spans="1:11" ht="42" customHeight="1" x14ac:dyDescent="0.3">
      <c r="A61" s="2" t="s">
        <v>272</v>
      </c>
      <c r="B61" s="2" t="s">
        <v>12</v>
      </c>
      <c r="C61" s="2" t="s">
        <v>62</v>
      </c>
      <c r="D61" s="3" t="s">
        <v>245</v>
      </c>
      <c r="E61" s="2" t="s">
        <v>246</v>
      </c>
      <c r="F61" s="3" t="s">
        <v>247</v>
      </c>
      <c r="G61" s="3" t="s">
        <v>92</v>
      </c>
      <c r="H61" s="4" t="s">
        <v>273</v>
      </c>
      <c r="I61" s="5" t="s">
        <v>274</v>
      </c>
      <c r="J61" s="5" t="s">
        <v>54</v>
      </c>
      <c r="K61" s="5" t="s">
        <v>275</v>
      </c>
    </row>
    <row r="62" spans="1:11" ht="42" customHeight="1" x14ac:dyDescent="0.3">
      <c r="A62" s="2" t="s">
        <v>276</v>
      </c>
      <c r="B62" s="2" t="s">
        <v>12</v>
      </c>
      <c r="C62" s="2" t="s">
        <v>82</v>
      </c>
      <c r="D62" s="3" t="s">
        <v>245</v>
      </c>
      <c r="E62" s="2" t="s">
        <v>246</v>
      </c>
      <c r="F62" s="3" t="s">
        <v>247</v>
      </c>
      <c r="G62" s="3" t="s">
        <v>240</v>
      </c>
      <c r="H62" s="4" t="s">
        <v>277</v>
      </c>
      <c r="I62" s="5" t="s">
        <v>278</v>
      </c>
      <c r="J62" s="5" t="s">
        <v>279</v>
      </c>
      <c r="K62" s="5" t="s">
        <v>21</v>
      </c>
    </row>
    <row r="63" spans="1:11" ht="42" customHeight="1" x14ac:dyDescent="0.3">
      <c r="A63" s="2" t="s">
        <v>280</v>
      </c>
      <c r="B63" s="2" t="s">
        <v>12</v>
      </c>
      <c r="C63" s="2" t="s">
        <v>13</v>
      </c>
      <c r="D63" s="3" t="s">
        <v>281</v>
      </c>
      <c r="E63" s="2" t="s">
        <v>282</v>
      </c>
      <c r="F63" s="3" t="s">
        <v>283</v>
      </c>
      <c r="G63" s="3" t="s">
        <v>284</v>
      </c>
      <c r="H63" s="4" t="s">
        <v>285</v>
      </c>
      <c r="I63" s="5" t="s">
        <v>286</v>
      </c>
      <c r="J63" s="5" t="s">
        <v>95</v>
      </c>
      <c r="K63" s="5" t="s">
        <v>287</v>
      </c>
    </row>
    <row r="64" spans="1:11" ht="42" customHeight="1" x14ac:dyDescent="0.3">
      <c r="A64" s="2" t="s">
        <v>288</v>
      </c>
      <c r="B64" s="2" t="s">
        <v>12</v>
      </c>
      <c r="C64" s="2" t="s">
        <v>13</v>
      </c>
      <c r="D64" s="3" t="s">
        <v>281</v>
      </c>
      <c r="E64" s="2" t="s">
        <v>282</v>
      </c>
      <c r="F64" s="3" t="s">
        <v>283</v>
      </c>
      <c r="G64" s="3" t="s">
        <v>51</v>
      </c>
      <c r="H64" s="4" t="s">
        <v>289</v>
      </c>
      <c r="I64" s="5" t="s">
        <v>290</v>
      </c>
      <c r="J64" s="5" t="s">
        <v>214</v>
      </c>
      <c r="K64" s="5" t="s">
        <v>21</v>
      </c>
    </row>
    <row r="65" spans="1:11" ht="42" customHeight="1" x14ac:dyDescent="0.3">
      <c r="A65" s="2" t="s">
        <v>291</v>
      </c>
      <c r="B65" s="2" t="s">
        <v>12</v>
      </c>
      <c r="C65" s="2" t="s">
        <v>13</v>
      </c>
      <c r="D65" s="3" t="s">
        <v>281</v>
      </c>
      <c r="E65" s="2" t="s">
        <v>282</v>
      </c>
      <c r="F65" s="3" t="s">
        <v>283</v>
      </c>
      <c r="G65" s="3" t="s">
        <v>46</v>
      </c>
      <c r="H65" s="4" t="s">
        <v>292</v>
      </c>
      <c r="I65" s="5" t="s">
        <v>293</v>
      </c>
      <c r="J65" s="5" t="s">
        <v>49</v>
      </c>
      <c r="K65" s="5" t="s">
        <v>266</v>
      </c>
    </row>
    <row r="66" spans="1:11" ht="42" customHeight="1" x14ac:dyDescent="0.3">
      <c r="A66" s="2" t="s">
        <v>294</v>
      </c>
      <c r="B66" s="2" t="s">
        <v>12</v>
      </c>
      <c r="C66" s="2" t="s">
        <v>13</v>
      </c>
      <c r="D66" s="3" t="s">
        <v>281</v>
      </c>
      <c r="E66" s="2" t="s">
        <v>282</v>
      </c>
      <c r="F66" s="3" t="s">
        <v>283</v>
      </c>
      <c r="G66" s="3" t="s">
        <v>295</v>
      </c>
      <c r="H66" s="4" t="s">
        <v>296</v>
      </c>
      <c r="I66" s="5" t="s">
        <v>297</v>
      </c>
      <c r="J66" s="5" t="s">
        <v>26</v>
      </c>
      <c r="K66" s="5" t="s">
        <v>292</v>
      </c>
    </row>
    <row r="67" spans="1:11" ht="42" customHeight="1" x14ac:dyDescent="0.3">
      <c r="A67" s="2" t="s">
        <v>298</v>
      </c>
      <c r="B67" s="2" t="s">
        <v>12</v>
      </c>
      <c r="C67" s="2" t="s">
        <v>13</v>
      </c>
      <c r="D67" s="3" t="s">
        <v>281</v>
      </c>
      <c r="E67" s="2" t="s">
        <v>282</v>
      </c>
      <c r="F67" s="3" t="s">
        <v>283</v>
      </c>
      <c r="G67" s="3" t="s">
        <v>29</v>
      </c>
      <c r="H67" s="4" t="s">
        <v>299</v>
      </c>
      <c r="I67" s="5" t="s">
        <v>300</v>
      </c>
      <c r="J67" s="5" t="s">
        <v>26</v>
      </c>
      <c r="K67" s="5" t="s">
        <v>85</v>
      </c>
    </row>
    <row r="68" spans="1:11" ht="42" customHeight="1" x14ac:dyDescent="0.3">
      <c r="A68" s="2" t="s">
        <v>301</v>
      </c>
      <c r="B68" s="2" t="s">
        <v>12</v>
      </c>
      <c r="C68" s="2" t="s">
        <v>62</v>
      </c>
      <c r="D68" s="3" t="s">
        <v>281</v>
      </c>
      <c r="E68" s="2" t="s">
        <v>282</v>
      </c>
      <c r="F68" s="3" t="s">
        <v>283</v>
      </c>
      <c r="G68" s="3" t="s">
        <v>302</v>
      </c>
      <c r="H68" s="4" t="s">
        <v>303</v>
      </c>
      <c r="I68" s="5" t="s">
        <v>304</v>
      </c>
      <c r="J68" s="5" t="s">
        <v>44</v>
      </c>
      <c r="K68" s="5" t="s">
        <v>32</v>
      </c>
    </row>
    <row r="69" spans="1:11" ht="42" customHeight="1" x14ac:dyDescent="0.3">
      <c r="A69" s="2" t="s">
        <v>305</v>
      </c>
      <c r="B69" s="2" t="s">
        <v>12</v>
      </c>
      <c r="C69" s="2" t="s">
        <v>62</v>
      </c>
      <c r="D69" s="3" t="s">
        <v>281</v>
      </c>
      <c r="E69" s="2" t="s">
        <v>282</v>
      </c>
      <c r="F69" s="3" t="s">
        <v>283</v>
      </c>
      <c r="G69" s="3" t="s">
        <v>87</v>
      </c>
      <c r="H69" s="4" t="s">
        <v>306</v>
      </c>
      <c r="I69" s="5" t="s">
        <v>307</v>
      </c>
      <c r="J69" s="5" t="s">
        <v>90</v>
      </c>
      <c r="K69" s="5" t="s">
        <v>308</v>
      </c>
    </row>
    <row r="70" spans="1:11" ht="42" customHeight="1" x14ac:dyDescent="0.3">
      <c r="A70" s="2" t="s">
        <v>309</v>
      </c>
      <c r="B70" s="2" t="s">
        <v>12</v>
      </c>
      <c r="C70" s="2" t="s">
        <v>62</v>
      </c>
      <c r="D70" s="3" t="s">
        <v>281</v>
      </c>
      <c r="E70" s="2" t="s">
        <v>282</v>
      </c>
      <c r="F70" s="3" t="s">
        <v>283</v>
      </c>
      <c r="G70" s="3" t="s">
        <v>133</v>
      </c>
      <c r="H70" s="4" t="s">
        <v>310</v>
      </c>
      <c r="I70" s="5" t="s">
        <v>311</v>
      </c>
      <c r="J70" s="5" t="s">
        <v>44</v>
      </c>
      <c r="K70" s="5" t="s">
        <v>136</v>
      </c>
    </row>
    <row r="71" spans="1:11" ht="42" customHeight="1" x14ac:dyDescent="0.3">
      <c r="A71" s="2" t="s">
        <v>312</v>
      </c>
      <c r="B71" s="2" t="s">
        <v>12</v>
      </c>
      <c r="C71" s="2" t="s">
        <v>62</v>
      </c>
      <c r="D71" s="3" t="s">
        <v>281</v>
      </c>
      <c r="E71" s="2" t="s">
        <v>282</v>
      </c>
      <c r="F71" s="3" t="s">
        <v>283</v>
      </c>
      <c r="G71" s="3" t="s">
        <v>129</v>
      </c>
      <c r="H71" s="4" t="s">
        <v>313</v>
      </c>
      <c r="I71" s="5" t="s">
        <v>314</v>
      </c>
      <c r="J71" s="5" t="s">
        <v>36</v>
      </c>
      <c r="K71" s="5" t="s">
        <v>308</v>
      </c>
    </row>
    <row r="72" spans="1:11" ht="42" customHeight="1" x14ac:dyDescent="0.3">
      <c r="A72" s="2" t="s">
        <v>315</v>
      </c>
      <c r="B72" s="2" t="s">
        <v>12</v>
      </c>
      <c r="C72" s="2" t="s">
        <v>13</v>
      </c>
      <c r="D72" s="3" t="s">
        <v>281</v>
      </c>
      <c r="E72" s="2" t="s">
        <v>316</v>
      </c>
      <c r="F72" s="3" t="s">
        <v>317</v>
      </c>
      <c r="G72" s="3" t="s">
        <v>51</v>
      </c>
      <c r="H72" s="4" t="s">
        <v>318</v>
      </c>
      <c r="I72" s="5" t="s">
        <v>319</v>
      </c>
      <c r="J72" s="5" t="s">
        <v>59</v>
      </c>
      <c r="K72" s="5" t="s">
        <v>320</v>
      </c>
    </row>
    <row r="73" spans="1:11" ht="42" customHeight="1" x14ac:dyDescent="0.3">
      <c r="A73" s="2" t="s">
        <v>321</v>
      </c>
      <c r="B73" s="2" t="s">
        <v>12</v>
      </c>
      <c r="C73" s="2" t="s">
        <v>13</v>
      </c>
      <c r="D73" s="3" t="s">
        <v>281</v>
      </c>
      <c r="E73" s="2" t="s">
        <v>316</v>
      </c>
      <c r="F73" s="3" t="s">
        <v>317</v>
      </c>
      <c r="G73" s="3" t="s">
        <v>295</v>
      </c>
      <c r="H73" s="4" t="s">
        <v>322</v>
      </c>
      <c r="I73" s="5" t="s">
        <v>323</v>
      </c>
      <c r="J73" s="5" t="s">
        <v>324</v>
      </c>
      <c r="K73" s="5" t="s">
        <v>325</v>
      </c>
    </row>
    <row r="74" spans="1:11" ht="42" customHeight="1" x14ac:dyDescent="0.3">
      <c r="A74" s="2" t="s">
        <v>326</v>
      </c>
      <c r="B74" s="2" t="s">
        <v>12</v>
      </c>
      <c r="C74" s="2" t="s">
        <v>13</v>
      </c>
      <c r="D74" s="3" t="s">
        <v>281</v>
      </c>
      <c r="E74" s="2" t="s">
        <v>316</v>
      </c>
      <c r="F74" s="3" t="s">
        <v>317</v>
      </c>
      <c r="G74" s="3" t="s">
        <v>295</v>
      </c>
      <c r="H74" s="4" t="s">
        <v>327</v>
      </c>
      <c r="I74" s="5" t="s">
        <v>328</v>
      </c>
      <c r="J74" s="5" t="s">
        <v>254</v>
      </c>
      <c r="K74" s="5" t="s">
        <v>329</v>
      </c>
    </row>
    <row r="75" spans="1:11" ht="42" customHeight="1" x14ac:dyDescent="0.3">
      <c r="A75" s="2" t="s">
        <v>330</v>
      </c>
      <c r="B75" s="2" t="s">
        <v>12</v>
      </c>
      <c r="C75" s="2" t="s">
        <v>13</v>
      </c>
      <c r="D75" s="3" t="s">
        <v>281</v>
      </c>
      <c r="E75" s="2" t="s">
        <v>316</v>
      </c>
      <c r="F75" s="3" t="s">
        <v>317</v>
      </c>
      <c r="G75" s="3" t="s">
        <v>51</v>
      </c>
      <c r="H75" s="4" t="s">
        <v>331</v>
      </c>
      <c r="I75" s="5" t="s">
        <v>332</v>
      </c>
      <c r="J75" s="5" t="s">
        <v>54</v>
      </c>
      <c r="K75" s="5" t="s">
        <v>21</v>
      </c>
    </row>
    <row r="76" spans="1:11" ht="42" customHeight="1" x14ac:dyDescent="0.3">
      <c r="A76" s="2" t="s">
        <v>333</v>
      </c>
      <c r="B76" s="2" t="s">
        <v>12</v>
      </c>
      <c r="C76" s="2" t="s">
        <v>62</v>
      </c>
      <c r="D76" s="3" t="s">
        <v>281</v>
      </c>
      <c r="E76" s="2" t="s">
        <v>316</v>
      </c>
      <c r="F76" s="3" t="s">
        <v>317</v>
      </c>
      <c r="G76" s="3" t="s">
        <v>69</v>
      </c>
      <c r="H76" s="4" t="s">
        <v>334</v>
      </c>
      <c r="I76" s="5" t="s">
        <v>335</v>
      </c>
      <c r="J76" s="5" t="s">
        <v>49</v>
      </c>
      <c r="K76" s="5" t="s">
        <v>336</v>
      </c>
    </row>
    <row r="77" spans="1:11" ht="42" customHeight="1" x14ac:dyDescent="0.3">
      <c r="A77" s="2" t="s">
        <v>337</v>
      </c>
      <c r="B77" s="2" t="s">
        <v>12</v>
      </c>
      <c r="C77" s="2" t="s">
        <v>62</v>
      </c>
      <c r="D77" s="3" t="s">
        <v>281</v>
      </c>
      <c r="E77" s="2" t="s">
        <v>316</v>
      </c>
      <c r="F77" s="3" t="s">
        <v>317</v>
      </c>
      <c r="G77" s="3" t="s">
        <v>338</v>
      </c>
      <c r="H77" s="4" t="s">
        <v>339</v>
      </c>
      <c r="I77" s="5" t="s">
        <v>340</v>
      </c>
      <c r="J77" s="5" t="s">
        <v>341</v>
      </c>
      <c r="K77" s="5" t="s">
        <v>342</v>
      </c>
    </row>
    <row r="78" spans="1:11" ht="42" customHeight="1" x14ac:dyDescent="0.3">
      <c r="A78" s="2" t="s">
        <v>343</v>
      </c>
      <c r="B78" s="2" t="s">
        <v>12</v>
      </c>
      <c r="C78" s="2" t="s">
        <v>62</v>
      </c>
      <c r="D78" s="3" t="s">
        <v>281</v>
      </c>
      <c r="E78" s="2" t="s">
        <v>316</v>
      </c>
      <c r="F78" s="3" t="s">
        <v>317</v>
      </c>
      <c r="G78" s="3" t="s">
        <v>133</v>
      </c>
      <c r="H78" s="4" t="s">
        <v>344</v>
      </c>
      <c r="I78" s="5" t="s">
        <v>345</v>
      </c>
      <c r="J78" s="5" t="s">
        <v>44</v>
      </c>
      <c r="K78" s="5" t="s">
        <v>136</v>
      </c>
    </row>
    <row r="79" spans="1:11" ht="42" customHeight="1" x14ac:dyDescent="0.3">
      <c r="A79" s="2" t="s">
        <v>346</v>
      </c>
      <c r="B79" s="2" t="s">
        <v>12</v>
      </c>
      <c r="C79" s="2" t="s">
        <v>82</v>
      </c>
      <c r="D79" s="3" t="s">
        <v>281</v>
      </c>
      <c r="E79" s="2" t="s">
        <v>316</v>
      </c>
      <c r="F79" s="3" t="s">
        <v>317</v>
      </c>
      <c r="G79" s="3" t="s">
        <v>133</v>
      </c>
      <c r="H79" s="4" t="s">
        <v>347</v>
      </c>
      <c r="I79" s="5" t="s">
        <v>348</v>
      </c>
      <c r="J79" s="5" t="s">
        <v>59</v>
      </c>
      <c r="K79" s="5" t="s">
        <v>136</v>
      </c>
    </row>
    <row r="80" spans="1:11" ht="42" customHeight="1" x14ac:dyDescent="0.3">
      <c r="A80" s="2" t="s">
        <v>349</v>
      </c>
      <c r="B80" s="2" t="s">
        <v>12</v>
      </c>
      <c r="C80" s="2" t="s">
        <v>82</v>
      </c>
      <c r="D80" s="3" t="s">
        <v>281</v>
      </c>
      <c r="E80" s="2" t="s">
        <v>316</v>
      </c>
      <c r="F80" s="3" t="s">
        <v>317</v>
      </c>
      <c r="G80" s="3" t="s">
        <v>133</v>
      </c>
      <c r="H80" s="4" t="s">
        <v>350</v>
      </c>
      <c r="I80" s="5" t="s">
        <v>351</v>
      </c>
      <c r="J80" s="5" t="s">
        <v>90</v>
      </c>
      <c r="K80" s="5" t="s">
        <v>136</v>
      </c>
    </row>
    <row r="81" spans="1:11" ht="42" customHeight="1" x14ac:dyDescent="0.3">
      <c r="A81" s="2" t="s">
        <v>352</v>
      </c>
      <c r="B81" s="2" t="s">
        <v>12</v>
      </c>
      <c r="C81" s="2" t="s">
        <v>13</v>
      </c>
      <c r="D81" s="3" t="s">
        <v>281</v>
      </c>
      <c r="E81" s="2" t="s">
        <v>353</v>
      </c>
      <c r="F81" s="3" t="s">
        <v>354</v>
      </c>
      <c r="G81" s="3" t="s">
        <v>51</v>
      </c>
      <c r="H81" s="4" t="s">
        <v>355</v>
      </c>
      <c r="I81" s="5" t="s">
        <v>356</v>
      </c>
      <c r="J81" s="5" t="s">
        <v>214</v>
      </c>
      <c r="K81" s="5" t="s">
        <v>357</v>
      </c>
    </row>
    <row r="82" spans="1:11" ht="42" customHeight="1" x14ac:dyDescent="0.3">
      <c r="A82" s="2" t="s">
        <v>358</v>
      </c>
      <c r="B82" s="2" t="s">
        <v>12</v>
      </c>
      <c r="C82" s="2" t="s">
        <v>13</v>
      </c>
      <c r="D82" s="3" t="s">
        <v>281</v>
      </c>
      <c r="E82" s="2" t="s">
        <v>353</v>
      </c>
      <c r="F82" s="3" t="s">
        <v>354</v>
      </c>
      <c r="G82" s="3" t="s">
        <v>51</v>
      </c>
      <c r="H82" s="4" t="s">
        <v>359</v>
      </c>
      <c r="I82" s="5" t="s">
        <v>360</v>
      </c>
      <c r="J82" s="5" t="s">
        <v>54</v>
      </c>
      <c r="K82" s="5" t="s">
        <v>21</v>
      </c>
    </row>
    <row r="83" spans="1:11" ht="42" customHeight="1" x14ac:dyDescent="0.3">
      <c r="A83" s="2" t="s">
        <v>361</v>
      </c>
      <c r="B83" s="2" t="s">
        <v>12</v>
      </c>
      <c r="C83" s="2" t="s">
        <v>62</v>
      </c>
      <c r="D83" s="3" t="s">
        <v>281</v>
      </c>
      <c r="E83" s="2" t="s">
        <v>353</v>
      </c>
      <c r="F83" s="3" t="s">
        <v>354</v>
      </c>
      <c r="G83" s="3" t="s">
        <v>129</v>
      </c>
      <c r="H83" s="4" t="s">
        <v>362</v>
      </c>
      <c r="I83" s="5" t="s">
        <v>363</v>
      </c>
      <c r="J83" s="5" t="s">
        <v>36</v>
      </c>
      <c r="K83" s="5" t="s">
        <v>364</v>
      </c>
    </row>
    <row r="84" spans="1:11" ht="42" customHeight="1" x14ac:dyDescent="0.3">
      <c r="A84" s="2" t="s">
        <v>365</v>
      </c>
      <c r="B84" s="2" t="s">
        <v>12</v>
      </c>
      <c r="C84" s="2" t="s">
        <v>62</v>
      </c>
      <c r="D84" s="3" t="s">
        <v>281</v>
      </c>
      <c r="E84" s="2" t="s">
        <v>353</v>
      </c>
      <c r="F84" s="3" t="s">
        <v>354</v>
      </c>
      <c r="G84" s="3" t="s">
        <v>87</v>
      </c>
      <c r="H84" s="4" t="s">
        <v>366</v>
      </c>
      <c r="I84" s="5" t="s">
        <v>367</v>
      </c>
      <c r="J84" s="5" t="s">
        <v>90</v>
      </c>
      <c r="K84" s="5" t="s">
        <v>357</v>
      </c>
    </row>
    <row r="85" spans="1:11" ht="42" customHeight="1" x14ac:dyDescent="0.3">
      <c r="A85" s="2" t="s">
        <v>368</v>
      </c>
      <c r="B85" s="2" t="s">
        <v>12</v>
      </c>
      <c r="C85" s="2" t="s">
        <v>62</v>
      </c>
      <c r="D85" s="3" t="s">
        <v>281</v>
      </c>
      <c r="E85" s="2" t="s">
        <v>353</v>
      </c>
      <c r="F85" s="3" t="s">
        <v>354</v>
      </c>
      <c r="G85" s="3" t="s">
        <v>338</v>
      </c>
      <c r="H85" s="4" t="s">
        <v>369</v>
      </c>
      <c r="I85" s="5" t="s">
        <v>370</v>
      </c>
      <c r="J85" s="5" t="s">
        <v>371</v>
      </c>
      <c r="K85" s="5" t="s">
        <v>372</v>
      </c>
    </row>
    <row r="86" spans="1:11" ht="42" customHeight="1" x14ac:dyDescent="0.3">
      <c r="A86" s="2" t="s">
        <v>373</v>
      </c>
      <c r="B86" s="2" t="s">
        <v>12</v>
      </c>
      <c r="C86" s="2" t="s">
        <v>62</v>
      </c>
      <c r="D86" s="3" t="s">
        <v>281</v>
      </c>
      <c r="E86" s="2" t="s">
        <v>353</v>
      </c>
      <c r="F86" s="3" t="s">
        <v>354</v>
      </c>
      <c r="G86" s="3" t="s">
        <v>338</v>
      </c>
      <c r="H86" s="4" t="s">
        <v>374</v>
      </c>
      <c r="I86" s="5" t="s">
        <v>375</v>
      </c>
      <c r="J86" s="5" t="s">
        <v>44</v>
      </c>
      <c r="K86" s="5" t="s">
        <v>219</v>
      </c>
    </row>
    <row r="87" spans="1:11" ht="42" customHeight="1" x14ac:dyDescent="0.3">
      <c r="A87" s="2" t="s">
        <v>376</v>
      </c>
      <c r="B87" s="2" t="s">
        <v>12</v>
      </c>
      <c r="C87" s="2" t="s">
        <v>62</v>
      </c>
      <c r="D87" s="3" t="s">
        <v>281</v>
      </c>
      <c r="E87" s="2" t="s">
        <v>353</v>
      </c>
      <c r="F87" s="3" t="s">
        <v>354</v>
      </c>
      <c r="G87" s="3" t="s">
        <v>302</v>
      </c>
      <c r="H87" s="4" t="s">
        <v>377</v>
      </c>
      <c r="I87" s="5" t="s">
        <v>378</v>
      </c>
      <c r="J87" s="5" t="s">
        <v>44</v>
      </c>
      <c r="K87" s="5" t="s">
        <v>303</v>
      </c>
    </row>
    <row r="88" spans="1:11" ht="42" customHeight="1" x14ac:dyDescent="0.3">
      <c r="A88" s="2" t="s">
        <v>379</v>
      </c>
      <c r="B88" s="2" t="s">
        <v>12</v>
      </c>
      <c r="C88" s="2" t="s">
        <v>82</v>
      </c>
      <c r="D88" s="3" t="s">
        <v>281</v>
      </c>
      <c r="E88" s="2" t="s">
        <v>353</v>
      </c>
      <c r="F88" s="3" t="s">
        <v>354</v>
      </c>
      <c r="G88" s="3" t="s">
        <v>133</v>
      </c>
      <c r="H88" s="4" t="s">
        <v>380</v>
      </c>
      <c r="I88" s="5" t="s">
        <v>381</v>
      </c>
      <c r="J88" s="5" t="s">
        <v>59</v>
      </c>
      <c r="K88" s="5" t="s">
        <v>136</v>
      </c>
    </row>
    <row r="89" spans="1:11" ht="42" customHeight="1" x14ac:dyDescent="0.3">
      <c r="A89" s="2" t="s">
        <v>382</v>
      </c>
      <c r="B89" s="2" t="s">
        <v>12</v>
      </c>
      <c r="C89" s="2" t="s">
        <v>82</v>
      </c>
      <c r="D89" s="3" t="s">
        <v>281</v>
      </c>
      <c r="E89" s="2" t="s">
        <v>353</v>
      </c>
      <c r="F89" s="3" t="s">
        <v>354</v>
      </c>
      <c r="G89" s="3" t="s">
        <v>133</v>
      </c>
      <c r="H89" s="4" t="s">
        <v>383</v>
      </c>
      <c r="I89" s="5" t="s">
        <v>384</v>
      </c>
      <c r="J89" s="5" t="s">
        <v>44</v>
      </c>
      <c r="K89" s="5" t="s">
        <v>136</v>
      </c>
    </row>
    <row r="90" spans="1:11" ht="42" customHeight="1" x14ac:dyDescent="0.3">
      <c r="A90" s="2" t="s">
        <v>385</v>
      </c>
      <c r="B90" s="2" t="s">
        <v>12</v>
      </c>
      <c r="C90" s="2" t="s">
        <v>386</v>
      </c>
      <c r="D90" s="3" t="s">
        <v>281</v>
      </c>
      <c r="E90" s="2" t="s">
        <v>353</v>
      </c>
      <c r="F90" s="3" t="s">
        <v>354</v>
      </c>
      <c r="G90" s="3" t="s">
        <v>133</v>
      </c>
      <c r="H90" s="4" t="s">
        <v>387</v>
      </c>
      <c r="I90" s="5" t="s">
        <v>388</v>
      </c>
      <c r="J90" s="5" t="s">
        <v>90</v>
      </c>
      <c r="K90" s="5" t="s">
        <v>136</v>
      </c>
    </row>
    <row r="91" spans="1:11" ht="42" customHeight="1" x14ac:dyDescent="0.3">
      <c r="A91" s="2" t="s">
        <v>389</v>
      </c>
      <c r="B91" s="2" t="s">
        <v>12</v>
      </c>
      <c r="C91" s="2" t="s">
        <v>386</v>
      </c>
      <c r="D91" s="3" t="s">
        <v>281</v>
      </c>
      <c r="E91" s="2" t="s">
        <v>353</v>
      </c>
      <c r="F91" s="3" t="s">
        <v>354</v>
      </c>
      <c r="G91" s="3" t="s">
        <v>133</v>
      </c>
      <c r="H91" s="4" t="s">
        <v>390</v>
      </c>
      <c r="I91" s="5" t="s">
        <v>391</v>
      </c>
      <c r="J91" s="5" t="s">
        <v>90</v>
      </c>
      <c r="K91" s="5" t="s">
        <v>136</v>
      </c>
    </row>
    <row r="92" spans="1:11" ht="42" customHeight="1" x14ac:dyDescent="0.3">
      <c r="A92" s="2" t="s">
        <v>392</v>
      </c>
      <c r="B92" s="2" t="s">
        <v>12</v>
      </c>
      <c r="C92" s="2" t="s">
        <v>13</v>
      </c>
      <c r="D92" s="3" t="s">
        <v>281</v>
      </c>
      <c r="E92" s="2" t="s">
        <v>393</v>
      </c>
      <c r="F92" s="3" t="s">
        <v>394</v>
      </c>
      <c r="G92" s="3" t="s">
        <v>51</v>
      </c>
      <c r="H92" s="4" t="s">
        <v>395</v>
      </c>
      <c r="I92" s="5" t="s">
        <v>396</v>
      </c>
      <c r="J92" s="5" t="s">
        <v>214</v>
      </c>
      <c r="K92" s="5" t="s">
        <v>372</v>
      </c>
    </row>
    <row r="93" spans="1:11" ht="42" customHeight="1" x14ac:dyDescent="0.3">
      <c r="A93" s="2" t="s">
        <v>397</v>
      </c>
      <c r="B93" s="2" t="s">
        <v>12</v>
      </c>
      <c r="C93" s="2" t="s">
        <v>13</v>
      </c>
      <c r="D93" s="3" t="s">
        <v>281</v>
      </c>
      <c r="E93" s="2" t="s">
        <v>393</v>
      </c>
      <c r="F93" s="3" t="s">
        <v>394</v>
      </c>
      <c r="G93" s="3" t="s">
        <v>295</v>
      </c>
      <c r="H93" s="4" t="s">
        <v>398</v>
      </c>
      <c r="I93" s="5" t="s">
        <v>399</v>
      </c>
      <c r="J93" s="5" t="s">
        <v>254</v>
      </c>
      <c r="K93" s="5" t="s">
        <v>400</v>
      </c>
    </row>
    <row r="94" spans="1:11" ht="42" customHeight="1" x14ac:dyDescent="0.3">
      <c r="A94" s="2" t="s">
        <v>401</v>
      </c>
      <c r="B94" s="2" t="s">
        <v>12</v>
      </c>
      <c r="C94" s="2" t="s">
        <v>62</v>
      </c>
      <c r="D94" s="3" t="s">
        <v>281</v>
      </c>
      <c r="E94" s="2" t="s">
        <v>393</v>
      </c>
      <c r="F94" s="3" t="s">
        <v>394</v>
      </c>
      <c r="G94" s="3" t="s">
        <v>338</v>
      </c>
      <c r="H94" s="4" t="s">
        <v>402</v>
      </c>
      <c r="I94" s="5" t="s">
        <v>403</v>
      </c>
      <c r="J94" s="5" t="s">
        <v>49</v>
      </c>
      <c r="K94" s="5" t="s">
        <v>404</v>
      </c>
    </row>
    <row r="95" spans="1:11" ht="42" customHeight="1" x14ac:dyDescent="0.3">
      <c r="A95" s="2" t="s">
        <v>405</v>
      </c>
      <c r="B95" s="2" t="s">
        <v>12</v>
      </c>
      <c r="C95" s="2" t="s">
        <v>62</v>
      </c>
      <c r="D95" s="3" t="s">
        <v>281</v>
      </c>
      <c r="E95" s="2" t="s">
        <v>393</v>
      </c>
      <c r="F95" s="3" t="s">
        <v>394</v>
      </c>
      <c r="G95" s="3" t="s">
        <v>338</v>
      </c>
      <c r="H95" s="4" t="s">
        <v>406</v>
      </c>
      <c r="I95" s="5" t="s">
        <v>407</v>
      </c>
      <c r="J95" s="5" t="s">
        <v>408</v>
      </c>
      <c r="K95" s="5" t="s">
        <v>409</v>
      </c>
    </row>
    <row r="96" spans="1:11" ht="42" customHeight="1" x14ac:dyDescent="0.3">
      <c r="A96" s="2" t="s">
        <v>410</v>
      </c>
      <c r="B96" s="2" t="s">
        <v>12</v>
      </c>
      <c r="C96" s="2" t="s">
        <v>62</v>
      </c>
      <c r="D96" s="3" t="s">
        <v>281</v>
      </c>
      <c r="E96" s="2" t="s">
        <v>393</v>
      </c>
      <c r="F96" s="3" t="s">
        <v>394</v>
      </c>
      <c r="G96" s="3" t="s">
        <v>87</v>
      </c>
      <c r="H96" s="4" t="s">
        <v>411</v>
      </c>
      <c r="I96" s="5" t="s">
        <v>412</v>
      </c>
      <c r="J96" s="5" t="s">
        <v>90</v>
      </c>
      <c r="K96" s="5" t="s">
        <v>413</v>
      </c>
    </row>
    <row r="97" spans="1:11" ht="42" customHeight="1" x14ac:dyDescent="0.3">
      <c r="A97" s="2" t="s">
        <v>414</v>
      </c>
      <c r="B97" s="2" t="s">
        <v>12</v>
      </c>
      <c r="C97" s="2" t="s">
        <v>62</v>
      </c>
      <c r="D97" s="3" t="s">
        <v>281</v>
      </c>
      <c r="E97" s="2" t="s">
        <v>393</v>
      </c>
      <c r="F97" s="3" t="s">
        <v>394</v>
      </c>
      <c r="G97" s="3" t="s">
        <v>87</v>
      </c>
      <c r="H97" s="4" t="s">
        <v>415</v>
      </c>
      <c r="I97" s="5" t="s">
        <v>416</v>
      </c>
      <c r="J97" s="5" t="s">
        <v>417</v>
      </c>
      <c r="K97" s="5" t="s">
        <v>418</v>
      </c>
    </row>
    <row r="98" spans="1:11" ht="42" customHeight="1" x14ac:dyDescent="0.3">
      <c r="A98" s="2" t="s">
        <v>419</v>
      </c>
      <c r="B98" s="2" t="s">
        <v>12</v>
      </c>
      <c r="C98" s="2" t="s">
        <v>62</v>
      </c>
      <c r="D98" s="3" t="s">
        <v>281</v>
      </c>
      <c r="E98" s="2" t="s">
        <v>393</v>
      </c>
      <c r="F98" s="3" t="s">
        <v>394</v>
      </c>
      <c r="G98" s="3" t="s">
        <v>240</v>
      </c>
      <c r="H98" s="4" t="s">
        <v>420</v>
      </c>
      <c r="I98" s="5" t="s">
        <v>421</v>
      </c>
      <c r="J98" s="5" t="s">
        <v>279</v>
      </c>
      <c r="K98" s="5" t="s">
        <v>21</v>
      </c>
    </row>
    <row r="99" spans="1:11" ht="42" customHeight="1" x14ac:dyDescent="0.3">
      <c r="A99" s="2" t="s">
        <v>422</v>
      </c>
      <c r="B99" s="2" t="s">
        <v>12</v>
      </c>
      <c r="C99" s="2" t="s">
        <v>62</v>
      </c>
      <c r="D99" s="3" t="s">
        <v>281</v>
      </c>
      <c r="E99" s="2" t="s">
        <v>393</v>
      </c>
      <c r="F99" s="3" t="s">
        <v>394</v>
      </c>
      <c r="G99" s="3" t="s">
        <v>141</v>
      </c>
      <c r="H99" s="4" t="s">
        <v>423</v>
      </c>
      <c r="I99" s="5" t="s">
        <v>424</v>
      </c>
      <c r="J99" s="5" t="s">
        <v>20</v>
      </c>
      <c r="K99" s="5" t="s">
        <v>409</v>
      </c>
    </row>
    <row r="100" spans="1:11" ht="42" customHeight="1" x14ac:dyDescent="0.3">
      <c r="A100" s="2" t="s">
        <v>425</v>
      </c>
      <c r="B100" s="2" t="s">
        <v>12</v>
      </c>
      <c r="C100" s="2" t="s">
        <v>13</v>
      </c>
      <c r="D100" s="3" t="s">
        <v>426</v>
      </c>
      <c r="E100" s="2" t="s">
        <v>427</v>
      </c>
      <c r="F100" s="3" t="s">
        <v>428</v>
      </c>
      <c r="G100" s="3" t="s">
        <v>251</v>
      </c>
      <c r="H100" s="4" t="s">
        <v>429</v>
      </c>
      <c r="I100" s="5" t="s">
        <v>430</v>
      </c>
      <c r="J100" s="5" t="s">
        <v>95</v>
      </c>
      <c r="K100" s="5" t="s">
        <v>431</v>
      </c>
    </row>
    <row r="101" spans="1:11" ht="42" customHeight="1" x14ac:dyDescent="0.3">
      <c r="A101" s="2" t="s">
        <v>432</v>
      </c>
      <c r="B101" s="2" t="s">
        <v>12</v>
      </c>
      <c r="C101" s="2" t="s">
        <v>13</v>
      </c>
      <c r="D101" s="3" t="s">
        <v>426</v>
      </c>
      <c r="E101" s="2" t="s">
        <v>427</v>
      </c>
      <c r="F101" s="3" t="s">
        <v>428</v>
      </c>
      <c r="G101" s="3" t="s">
        <v>261</v>
      </c>
      <c r="H101" s="4" t="s">
        <v>433</v>
      </c>
      <c r="I101" s="5" t="s">
        <v>434</v>
      </c>
      <c r="J101" s="5" t="s">
        <v>20</v>
      </c>
      <c r="K101" s="5" t="s">
        <v>435</v>
      </c>
    </row>
    <row r="102" spans="1:11" ht="42" customHeight="1" x14ac:dyDescent="0.3">
      <c r="A102" s="2" t="s">
        <v>436</v>
      </c>
      <c r="B102" s="2" t="s">
        <v>12</v>
      </c>
      <c r="C102" s="2" t="s">
        <v>13</v>
      </c>
      <c r="D102" s="3" t="s">
        <v>426</v>
      </c>
      <c r="E102" s="2" t="s">
        <v>427</v>
      </c>
      <c r="F102" s="3" t="s">
        <v>428</v>
      </c>
      <c r="G102" s="3" t="s">
        <v>437</v>
      </c>
      <c r="H102" s="4" t="s">
        <v>438</v>
      </c>
      <c r="I102" s="5" t="s">
        <v>439</v>
      </c>
      <c r="J102" s="5" t="s">
        <v>54</v>
      </c>
      <c r="K102" s="5" t="s">
        <v>440</v>
      </c>
    </row>
    <row r="103" spans="1:11" ht="42" customHeight="1" x14ac:dyDescent="0.3">
      <c r="A103" s="2" t="s">
        <v>441</v>
      </c>
      <c r="B103" s="2" t="s">
        <v>12</v>
      </c>
      <c r="C103" s="2" t="s">
        <v>62</v>
      </c>
      <c r="D103" s="3" t="s">
        <v>426</v>
      </c>
      <c r="E103" s="2" t="s">
        <v>427</v>
      </c>
      <c r="F103" s="3" t="s">
        <v>428</v>
      </c>
      <c r="G103" s="3" t="s">
        <v>338</v>
      </c>
      <c r="H103" s="4" t="s">
        <v>442</v>
      </c>
      <c r="I103" s="5" t="s">
        <v>443</v>
      </c>
      <c r="J103" s="5" t="s">
        <v>444</v>
      </c>
      <c r="K103" s="5" t="s">
        <v>440</v>
      </c>
    </row>
    <row r="104" spans="1:11" ht="42" customHeight="1" x14ac:dyDescent="0.3">
      <c r="A104" s="2" t="s">
        <v>445</v>
      </c>
      <c r="B104" s="2" t="s">
        <v>12</v>
      </c>
      <c r="C104" s="2" t="s">
        <v>62</v>
      </c>
      <c r="D104" s="3" t="s">
        <v>426</v>
      </c>
      <c r="E104" s="2" t="s">
        <v>427</v>
      </c>
      <c r="F104" s="3" t="s">
        <v>428</v>
      </c>
      <c r="G104" s="3" t="s">
        <v>141</v>
      </c>
      <c r="H104" s="4" t="s">
        <v>446</v>
      </c>
      <c r="I104" s="5" t="s">
        <v>447</v>
      </c>
      <c r="J104" s="5" t="s">
        <v>20</v>
      </c>
      <c r="K104" s="5" t="s">
        <v>448</v>
      </c>
    </row>
    <row r="105" spans="1:11" ht="42" customHeight="1" x14ac:dyDescent="0.3">
      <c r="A105" s="2" t="s">
        <v>449</v>
      </c>
      <c r="B105" s="2" t="s">
        <v>12</v>
      </c>
      <c r="C105" s="2" t="s">
        <v>62</v>
      </c>
      <c r="D105" s="3" t="s">
        <v>426</v>
      </c>
      <c r="E105" s="2" t="s">
        <v>427</v>
      </c>
      <c r="F105" s="3" t="s">
        <v>428</v>
      </c>
      <c r="G105" s="3" t="s">
        <v>92</v>
      </c>
      <c r="H105" s="4" t="s">
        <v>450</v>
      </c>
      <c r="I105" s="5" t="s">
        <v>451</v>
      </c>
      <c r="J105" s="5" t="s">
        <v>54</v>
      </c>
      <c r="K105" s="5" t="s">
        <v>440</v>
      </c>
    </row>
    <row r="106" spans="1:11" ht="42" customHeight="1" x14ac:dyDescent="0.3">
      <c r="A106" s="2" t="s">
        <v>452</v>
      </c>
      <c r="B106" s="2" t="s">
        <v>12</v>
      </c>
      <c r="C106" s="2" t="s">
        <v>62</v>
      </c>
      <c r="D106" s="3" t="s">
        <v>426</v>
      </c>
      <c r="E106" s="2" t="s">
        <v>427</v>
      </c>
      <c r="F106" s="3" t="s">
        <v>428</v>
      </c>
      <c r="G106" s="3" t="s">
        <v>240</v>
      </c>
      <c r="H106" s="4" t="s">
        <v>453</v>
      </c>
      <c r="I106" s="5" t="s">
        <v>454</v>
      </c>
      <c r="J106" s="5" t="s">
        <v>279</v>
      </c>
      <c r="K106" s="5" t="s">
        <v>455</v>
      </c>
    </row>
    <row r="107" spans="1:11" ht="42" customHeight="1" x14ac:dyDescent="0.3">
      <c r="A107" s="2" t="s">
        <v>456</v>
      </c>
      <c r="B107" s="2" t="s">
        <v>12</v>
      </c>
      <c r="C107" s="2" t="s">
        <v>386</v>
      </c>
      <c r="D107" s="3" t="s">
        <v>426</v>
      </c>
      <c r="E107" s="2" t="s">
        <v>427</v>
      </c>
      <c r="F107" s="3" t="s">
        <v>428</v>
      </c>
      <c r="G107" s="3" t="s">
        <v>302</v>
      </c>
      <c r="H107" s="4" t="s">
        <v>457</v>
      </c>
      <c r="I107" s="5" t="s">
        <v>458</v>
      </c>
      <c r="J107" s="5" t="s">
        <v>44</v>
      </c>
      <c r="K107" s="5" t="s">
        <v>459</v>
      </c>
    </row>
    <row r="108" spans="1:11" ht="42" customHeight="1" x14ac:dyDescent="0.3">
      <c r="A108" s="2" t="s">
        <v>460</v>
      </c>
      <c r="B108" s="2" t="s">
        <v>12</v>
      </c>
      <c r="C108" s="2" t="s">
        <v>13</v>
      </c>
      <c r="D108" s="3" t="s">
        <v>461</v>
      </c>
      <c r="E108" s="2" t="s">
        <v>462</v>
      </c>
      <c r="F108" s="3" t="s">
        <v>463</v>
      </c>
      <c r="G108" s="3" t="s">
        <v>284</v>
      </c>
      <c r="H108" s="4" t="s">
        <v>464</v>
      </c>
      <c r="I108" s="5" t="s">
        <v>465</v>
      </c>
      <c r="J108" s="5" t="s">
        <v>95</v>
      </c>
      <c r="K108" s="5" t="s">
        <v>450</v>
      </c>
    </row>
    <row r="109" spans="1:11" ht="42" customHeight="1" x14ac:dyDescent="0.3">
      <c r="A109" s="2" t="s">
        <v>466</v>
      </c>
      <c r="B109" s="2" t="s">
        <v>12</v>
      </c>
      <c r="C109" s="2" t="s">
        <v>13</v>
      </c>
      <c r="D109" s="3" t="s">
        <v>461</v>
      </c>
      <c r="E109" s="2" t="s">
        <v>462</v>
      </c>
      <c r="F109" s="3" t="s">
        <v>463</v>
      </c>
      <c r="G109" s="3" t="s">
        <v>51</v>
      </c>
      <c r="H109" s="4" t="s">
        <v>467</v>
      </c>
      <c r="I109" s="5" t="s">
        <v>468</v>
      </c>
      <c r="J109" s="5" t="s">
        <v>214</v>
      </c>
      <c r="K109" s="5" t="s">
        <v>450</v>
      </c>
    </row>
    <row r="110" spans="1:11" ht="42" customHeight="1" x14ac:dyDescent="0.3">
      <c r="A110" s="2" t="s">
        <v>469</v>
      </c>
      <c r="B110" s="2" t="s">
        <v>12</v>
      </c>
      <c r="C110" s="2" t="s">
        <v>62</v>
      </c>
      <c r="D110" s="3" t="s">
        <v>461</v>
      </c>
      <c r="E110" s="2" t="s">
        <v>462</v>
      </c>
      <c r="F110" s="3" t="s">
        <v>463</v>
      </c>
      <c r="G110" s="3" t="s">
        <v>69</v>
      </c>
      <c r="H110" s="4" t="s">
        <v>470</v>
      </c>
      <c r="I110" s="5" t="s">
        <v>471</v>
      </c>
      <c r="J110" s="5" t="s">
        <v>49</v>
      </c>
      <c r="K110" s="5" t="s">
        <v>472</v>
      </c>
    </row>
    <row r="111" spans="1:11" ht="42" customHeight="1" x14ac:dyDescent="0.3">
      <c r="A111" s="2" t="s">
        <v>473</v>
      </c>
      <c r="B111" s="2" t="s">
        <v>12</v>
      </c>
      <c r="C111" s="2" t="s">
        <v>62</v>
      </c>
      <c r="D111" s="3" t="s">
        <v>461</v>
      </c>
      <c r="E111" s="2" t="s">
        <v>462</v>
      </c>
      <c r="F111" s="3" t="s">
        <v>463</v>
      </c>
      <c r="G111" s="3" t="s">
        <v>87</v>
      </c>
      <c r="H111" s="4" t="s">
        <v>474</v>
      </c>
      <c r="I111" s="5" t="s">
        <v>475</v>
      </c>
      <c r="J111" s="5" t="s">
        <v>417</v>
      </c>
      <c r="K111" s="5" t="s">
        <v>476</v>
      </c>
    </row>
    <row r="112" spans="1:11" ht="42" customHeight="1" x14ac:dyDescent="0.3">
      <c r="A112" s="2" t="s">
        <v>477</v>
      </c>
      <c r="B112" s="2" t="s">
        <v>12</v>
      </c>
      <c r="C112" s="2" t="s">
        <v>62</v>
      </c>
      <c r="D112" s="3" t="s">
        <v>461</v>
      </c>
      <c r="E112" s="2" t="s">
        <v>462</v>
      </c>
      <c r="F112" s="3" t="s">
        <v>463</v>
      </c>
      <c r="G112" s="3" t="s">
        <v>478</v>
      </c>
      <c r="H112" s="4" t="s">
        <v>479</v>
      </c>
      <c r="I112" s="5" t="s">
        <v>480</v>
      </c>
      <c r="J112" s="5" t="s">
        <v>26</v>
      </c>
      <c r="K112" s="5" t="s">
        <v>481</v>
      </c>
    </row>
    <row r="113" spans="1:11" ht="42" customHeight="1" x14ac:dyDescent="0.3">
      <c r="A113" s="2" t="s">
        <v>482</v>
      </c>
      <c r="B113" s="2" t="s">
        <v>12</v>
      </c>
      <c r="C113" s="2" t="s">
        <v>386</v>
      </c>
      <c r="D113" s="3" t="s">
        <v>461</v>
      </c>
      <c r="E113" s="2" t="s">
        <v>462</v>
      </c>
      <c r="F113" s="3" t="s">
        <v>463</v>
      </c>
      <c r="G113" s="3" t="s">
        <v>302</v>
      </c>
      <c r="H113" s="4" t="s">
        <v>483</v>
      </c>
      <c r="I113" s="5" t="s">
        <v>484</v>
      </c>
      <c r="J113" s="5" t="s">
        <v>485</v>
      </c>
      <c r="K113" s="5" t="s">
        <v>457</v>
      </c>
    </row>
    <row r="114" spans="1:11" ht="42" customHeight="1" x14ac:dyDescent="0.3">
      <c r="A114" s="2" t="s">
        <v>486</v>
      </c>
      <c r="B114" s="2" t="s">
        <v>12</v>
      </c>
      <c r="C114" s="2" t="s">
        <v>386</v>
      </c>
      <c r="D114" s="3" t="s">
        <v>461</v>
      </c>
      <c r="E114" s="2" t="s">
        <v>462</v>
      </c>
      <c r="F114" s="3" t="s">
        <v>463</v>
      </c>
      <c r="G114" s="3" t="s">
        <v>302</v>
      </c>
      <c r="H114" s="4" t="s">
        <v>487</v>
      </c>
      <c r="I114" s="5" t="s">
        <v>488</v>
      </c>
      <c r="J114" s="5" t="s">
        <v>489</v>
      </c>
      <c r="K114" s="5" t="s">
        <v>490</v>
      </c>
    </row>
    <row r="115" spans="1:11" ht="42" customHeight="1" x14ac:dyDescent="0.3">
      <c r="A115" s="2" t="s">
        <v>491</v>
      </c>
      <c r="B115" s="2" t="s">
        <v>12</v>
      </c>
      <c r="C115" s="2" t="s">
        <v>82</v>
      </c>
      <c r="D115" s="3" t="s">
        <v>461</v>
      </c>
      <c r="E115" s="2" t="s">
        <v>462</v>
      </c>
      <c r="F115" s="3" t="s">
        <v>463</v>
      </c>
      <c r="G115" s="3" t="s">
        <v>338</v>
      </c>
      <c r="H115" s="4" t="s">
        <v>492</v>
      </c>
      <c r="I115" s="5" t="s">
        <v>493</v>
      </c>
      <c r="J115" s="5" t="s">
        <v>494</v>
      </c>
      <c r="K115" s="5" t="s">
        <v>409</v>
      </c>
    </row>
    <row r="116" spans="1:11" ht="42" customHeight="1" x14ac:dyDescent="0.3">
      <c r="A116" s="2" t="s">
        <v>495</v>
      </c>
      <c r="B116" s="2" t="s">
        <v>12</v>
      </c>
      <c r="C116" s="2" t="s">
        <v>82</v>
      </c>
      <c r="D116" s="3" t="s">
        <v>461</v>
      </c>
      <c r="E116" s="2" t="s">
        <v>462</v>
      </c>
      <c r="F116" s="3" t="s">
        <v>463</v>
      </c>
      <c r="G116" s="3" t="s">
        <v>240</v>
      </c>
      <c r="H116" s="4" t="s">
        <v>496</v>
      </c>
      <c r="I116" s="5" t="s">
        <v>497</v>
      </c>
      <c r="J116" s="5" t="s">
        <v>279</v>
      </c>
      <c r="K116" s="5" t="s">
        <v>21</v>
      </c>
    </row>
    <row r="117" spans="1:11" ht="42" customHeight="1" x14ac:dyDescent="0.3">
      <c r="A117" s="2" t="s">
        <v>498</v>
      </c>
      <c r="B117" s="2" t="s">
        <v>12</v>
      </c>
      <c r="C117" s="2" t="s">
        <v>13</v>
      </c>
      <c r="D117" s="3" t="s">
        <v>499</v>
      </c>
      <c r="E117" s="2" t="s">
        <v>500</v>
      </c>
      <c r="F117" s="3" t="s">
        <v>501</v>
      </c>
      <c r="G117" s="3" t="s">
        <v>502</v>
      </c>
      <c r="H117" s="4" t="s">
        <v>503</v>
      </c>
      <c r="I117" s="5" t="s">
        <v>504</v>
      </c>
      <c r="J117" s="5" t="s">
        <v>54</v>
      </c>
      <c r="K117" s="5" t="s">
        <v>21</v>
      </c>
    </row>
    <row r="118" spans="1:11" ht="42" customHeight="1" x14ac:dyDescent="0.3">
      <c r="A118" s="2" t="s">
        <v>505</v>
      </c>
      <c r="B118" s="2" t="s">
        <v>12</v>
      </c>
      <c r="C118" s="2" t="s">
        <v>13</v>
      </c>
      <c r="D118" s="3" t="s">
        <v>499</v>
      </c>
      <c r="E118" s="2" t="s">
        <v>500</v>
      </c>
      <c r="F118" s="3" t="s">
        <v>501</v>
      </c>
      <c r="G118" s="3" t="s">
        <v>284</v>
      </c>
      <c r="H118" s="4" t="s">
        <v>506</v>
      </c>
      <c r="I118" s="5" t="s">
        <v>507</v>
      </c>
      <c r="J118" s="5" t="s">
        <v>95</v>
      </c>
      <c r="K118" s="5" t="s">
        <v>503</v>
      </c>
    </row>
    <row r="119" spans="1:11" ht="42" customHeight="1" x14ac:dyDescent="0.3">
      <c r="A119" s="2" t="s">
        <v>508</v>
      </c>
      <c r="B119" s="2" t="s">
        <v>12</v>
      </c>
      <c r="C119" s="2" t="s">
        <v>13</v>
      </c>
      <c r="D119" s="3" t="s">
        <v>499</v>
      </c>
      <c r="E119" s="2" t="s">
        <v>500</v>
      </c>
      <c r="F119" s="3" t="s">
        <v>501</v>
      </c>
      <c r="G119" s="3" t="s">
        <v>87</v>
      </c>
      <c r="H119" s="4" t="s">
        <v>509</v>
      </c>
      <c r="I119" s="5" t="s">
        <v>510</v>
      </c>
      <c r="J119" s="5" t="s">
        <v>511</v>
      </c>
      <c r="K119" s="5" t="s">
        <v>481</v>
      </c>
    </row>
    <row r="120" spans="1:11" ht="42" customHeight="1" x14ac:dyDescent="0.3">
      <c r="A120" s="2" t="s">
        <v>512</v>
      </c>
      <c r="B120" s="2" t="s">
        <v>12</v>
      </c>
      <c r="C120" s="2" t="s">
        <v>13</v>
      </c>
      <c r="D120" s="3" t="s">
        <v>499</v>
      </c>
      <c r="E120" s="2" t="s">
        <v>500</v>
      </c>
      <c r="F120" s="3" t="s">
        <v>501</v>
      </c>
      <c r="G120" s="3" t="s">
        <v>261</v>
      </c>
      <c r="H120" s="4" t="s">
        <v>513</v>
      </c>
      <c r="I120" s="5" t="s">
        <v>514</v>
      </c>
      <c r="J120" s="5" t="s">
        <v>20</v>
      </c>
      <c r="K120" s="5" t="s">
        <v>506</v>
      </c>
    </row>
    <row r="121" spans="1:11" ht="42" customHeight="1" x14ac:dyDescent="0.3">
      <c r="A121" s="2" t="s">
        <v>515</v>
      </c>
      <c r="B121" s="2" t="s">
        <v>12</v>
      </c>
      <c r="C121" s="2" t="s">
        <v>13</v>
      </c>
      <c r="D121" s="3" t="s">
        <v>499</v>
      </c>
      <c r="E121" s="2" t="s">
        <v>500</v>
      </c>
      <c r="F121" s="3" t="s">
        <v>501</v>
      </c>
      <c r="G121" s="3" t="s">
        <v>516</v>
      </c>
      <c r="H121" s="4" t="s">
        <v>517</v>
      </c>
      <c r="I121" s="5" t="s">
        <v>518</v>
      </c>
      <c r="J121" s="5" t="s">
        <v>519</v>
      </c>
      <c r="K121" s="5" t="s">
        <v>520</v>
      </c>
    </row>
    <row r="122" spans="1:11" ht="42" customHeight="1" x14ac:dyDescent="0.3">
      <c r="A122" s="2" t="s">
        <v>521</v>
      </c>
      <c r="B122" s="2" t="s">
        <v>12</v>
      </c>
      <c r="C122" s="2" t="s">
        <v>62</v>
      </c>
      <c r="D122" s="3" t="s">
        <v>499</v>
      </c>
      <c r="E122" s="2" t="s">
        <v>500</v>
      </c>
      <c r="F122" s="3" t="s">
        <v>501</v>
      </c>
      <c r="G122" s="3" t="s">
        <v>92</v>
      </c>
      <c r="H122" s="4" t="s">
        <v>522</v>
      </c>
      <c r="I122" s="5" t="s">
        <v>523</v>
      </c>
      <c r="J122" s="5" t="s">
        <v>54</v>
      </c>
      <c r="K122" s="5" t="s">
        <v>520</v>
      </c>
    </row>
    <row r="123" spans="1:11" ht="42" customHeight="1" x14ac:dyDescent="0.3">
      <c r="A123" s="2" t="s">
        <v>524</v>
      </c>
      <c r="B123" s="2" t="s">
        <v>12</v>
      </c>
      <c r="C123" s="2" t="s">
        <v>62</v>
      </c>
      <c r="D123" s="3" t="s">
        <v>499</v>
      </c>
      <c r="E123" s="2" t="s">
        <v>500</v>
      </c>
      <c r="F123" s="3" t="s">
        <v>501</v>
      </c>
      <c r="G123" s="3" t="s">
        <v>240</v>
      </c>
      <c r="H123" s="4" t="s">
        <v>525</v>
      </c>
      <c r="I123" s="5" t="s">
        <v>526</v>
      </c>
      <c r="J123" s="5" t="s">
        <v>279</v>
      </c>
      <c r="K123" s="5" t="s">
        <v>527</v>
      </c>
    </row>
    <row r="124" spans="1:11" ht="42" customHeight="1" x14ac:dyDescent="0.3">
      <c r="A124" s="2" t="s">
        <v>528</v>
      </c>
      <c r="B124" s="2" t="s">
        <v>12</v>
      </c>
      <c r="C124" s="2" t="s">
        <v>386</v>
      </c>
      <c r="D124" s="3" t="s">
        <v>499</v>
      </c>
      <c r="E124" s="2" t="s">
        <v>500</v>
      </c>
      <c r="F124" s="3" t="s">
        <v>501</v>
      </c>
      <c r="G124" s="3" t="s">
        <v>302</v>
      </c>
      <c r="H124" s="4" t="s">
        <v>529</v>
      </c>
      <c r="I124" s="5" t="s">
        <v>530</v>
      </c>
      <c r="J124" s="5" t="s">
        <v>49</v>
      </c>
      <c r="K124" s="5" t="s">
        <v>487</v>
      </c>
    </row>
    <row r="125" spans="1:11" ht="42" customHeight="1" x14ac:dyDescent="0.3">
      <c r="A125" s="2" t="s">
        <v>531</v>
      </c>
      <c r="B125" s="2" t="s">
        <v>12</v>
      </c>
      <c r="C125" s="2" t="s">
        <v>386</v>
      </c>
      <c r="D125" s="3" t="s">
        <v>499</v>
      </c>
      <c r="E125" s="2" t="s">
        <v>500</v>
      </c>
      <c r="F125" s="3" t="s">
        <v>501</v>
      </c>
      <c r="G125" s="3" t="s">
        <v>302</v>
      </c>
      <c r="H125" s="4" t="s">
        <v>532</v>
      </c>
      <c r="I125" s="5" t="s">
        <v>533</v>
      </c>
      <c r="J125" s="5" t="s">
        <v>26</v>
      </c>
      <c r="K125" s="5" t="s">
        <v>534</v>
      </c>
    </row>
  </sheetData>
  <autoFilter ref="A1:K125" xr:uid="{00000000-0009-0000-0000-000000000000}"/>
  <conditionalFormatting sqref="B2:B125">
    <cfRule type="expression" dxfId="8" priority="6">
      <formula>$B2="Done"</formula>
    </cfRule>
    <cfRule type="expression" dxfId="7" priority="7">
      <formula>$B2="Doing"</formula>
    </cfRule>
    <cfRule type="expression" dxfId="6" priority="8">
      <formula>$B2="Review"</formula>
    </cfRule>
    <cfRule type="expression" dxfId="5" priority="9">
      <formula>$B2="Late"</formula>
    </cfRule>
  </conditionalFormatting>
  <conditionalFormatting sqref="C2:C125">
    <cfRule type="expression" dxfId="4" priority="2">
      <formula>$C2="INEGOCIÁVEL"</formula>
    </cfRule>
    <cfRule type="expression" dxfId="3" priority="3">
      <formula>$C2="ESSENCIAL"</formula>
    </cfRule>
    <cfRule type="expression" dxfId="2" priority="4">
      <formula>$C2="RELEVANTE"</formula>
    </cfRule>
    <cfRule type="expression" dxfId="1" priority="5">
      <formula>$C2="DESEJÁVEL"</formula>
    </cfRule>
  </conditionalFormatting>
  <conditionalFormatting sqref="D2:D125">
    <cfRule type="expression" dxfId="0" priority="10">
      <formula>ISNUMBER(SEARCH("BUILD",$D2))+ISNUMBER(SEARCH("PROTÓTIPO",$D2))&gt;0</formula>
    </cfRule>
  </conditionalFormatting>
  <dataValidations count="2">
    <dataValidation type="list" errorTitle="Status inválido" error="Use apenas: To Do, Doing, Review, Done, Late" sqref="B2:B125" xr:uid="{00000000-0002-0000-0000-000000000000}">
      <formula1>"To Do,Doing,Review,Done,Late"</formula1>
      <formula2>0</formula2>
    </dataValidation>
    <dataValidation type="list" sqref="C2:C125" xr:uid="{00000000-0002-0000-0000-000001000000}">
      <formula1>"INEGOCIÁVEL,ESSENCIAL,RELEVANTE,DESEJÁVEL"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zoomScaleNormal="100" workbookViewId="0">
      <pane ySplit="1" topLeftCell="A2" activePane="bottomLeft" state="frozen"/>
      <selection pane="bottomLeft" activeCell="C6" sqref="C6"/>
    </sheetView>
  </sheetViews>
  <sheetFormatPr defaultColWidth="8.6640625" defaultRowHeight="14.4" x14ac:dyDescent="0.3"/>
  <cols>
    <col min="1" max="1" width="14" customWidth="1"/>
    <col min="2" max="2" width="38" customWidth="1"/>
    <col min="3" max="3" width="42" customWidth="1"/>
    <col min="4" max="4" width="30" customWidth="1"/>
    <col min="5" max="5" width="62" customWidth="1"/>
  </cols>
  <sheetData>
    <row r="1" spans="1:5" ht="30" customHeight="1" x14ac:dyDescent="0.3">
      <c r="A1" s="16" t="s">
        <v>535</v>
      </c>
      <c r="B1" s="1" t="s">
        <v>536</v>
      </c>
      <c r="C1" s="1" t="s">
        <v>537</v>
      </c>
      <c r="D1" s="1" t="s">
        <v>538</v>
      </c>
      <c r="E1" s="1" t="s">
        <v>539</v>
      </c>
    </row>
    <row r="2" spans="1:5" ht="57.75" customHeight="1" x14ac:dyDescent="0.3">
      <c r="A2" s="4" t="s">
        <v>59</v>
      </c>
      <c r="B2" s="4" t="s">
        <v>601</v>
      </c>
      <c r="C2" s="5" t="s">
        <v>543</v>
      </c>
      <c r="D2" s="5" t="s">
        <v>544</v>
      </c>
      <c r="E2" s="5" t="s">
        <v>545</v>
      </c>
    </row>
    <row r="3" spans="1:5" ht="57.75" customHeight="1" x14ac:dyDescent="0.3">
      <c r="A3" s="4" t="s">
        <v>20</v>
      </c>
      <c r="B3" s="4" t="s">
        <v>565</v>
      </c>
      <c r="C3" s="5" t="s">
        <v>566</v>
      </c>
      <c r="D3" s="5" t="s">
        <v>567</v>
      </c>
      <c r="E3" s="5" t="s">
        <v>568</v>
      </c>
    </row>
    <row r="4" spans="1:5" ht="57.75" customHeight="1" x14ac:dyDescent="0.3">
      <c r="A4" s="4" t="s">
        <v>49</v>
      </c>
      <c r="B4" s="4" t="s">
        <v>550</v>
      </c>
      <c r="C4" s="5" t="s">
        <v>551</v>
      </c>
      <c r="D4" s="5" t="s">
        <v>544</v>
      </c>
      <c r="E4" s="5" t="s">
        <v>552</v>
      </c>
    </row>
    <row r="5" spans="1:5" ht="57.75" customHeight="1" x14ac:dyDescent="0.3">
      <c r="A5" s="4" t="s">
        <v>36</v>
      </c>
      <c r="B5" s="4" t="s">
        <v>557</v>
      </c>
      <c r="C5" s="5" t="s">
        <v>558</v>
      </c>
      <c r="D5" s="5" t="s">
        <v>559</v>
      </c>
      <c r="E5" s="5" t="s">
        <v>560</v>
      </c>
    </row>
    <row r="6" spans="1:5" ht="57.75" customHeight="1" x14ac:dyDescent="0.3">
      <c r="A6" s="4" t="s">
        <v>54</v>
      </c>
      <c r="B6" s="4" t="s">
        <v>602</v>
      </c>
      <c r="C6" s="5" t="s">
        <v>540</v>
      </c>
      <c r="D6" s="5" t="s">
        <v>541</v>
      </c>
      <c r="E6" s="5" t="s">
        <v>542</v>
      </c>
    </row>
    <row r="7" spans="1:5" ht="57.75" customHeight="1" x14ac:dyDescent="0.3">
      <c r="A7" s="4" t="s">
        <v>26</v>
      </c>
      <c r="B7" s="4" t="s">
        <v>553</v>
      </c>
      <c r="C7" s="5" t="s">
        <v>554</v>
      </c>
      <c r="D7" s="5" t="s">
        <v>555</v>
      </c>
      <c r="E7" s="5" t="s">
        <v>556</v>
      </c>
    </row>
    <row r="8" spans="1:5" ht="57.75" customHeight="1" x14ac:dyDescent="0.3">
      <c r="A8" s="4" t="s">
        <v>90</v>
      </c>
      <c r="B8" s="4" t="s">
        <v>546</v>
      </c>
      <c r="C8" s="5" t="s">
        <v>547</v>
      </c>
      <c r="D8" s="5" t="s">
        <v>548</v>
      </c>
      <c r="E8" s="5" t="s">
        <v>549</v>
      </c>
    </row>
    <row r="9" spans="1:5" ht="57.75" customHeight="1" x14ac:dyDescent="0.3">
      <c r="A9" s="4" t="s">
        <v>44</v>
      </c>
      <c r="B9" s="4" t="s">
        <v>561</v>
      </c>
      <c r="C9" s="5" t="s">
        <v>562</v>
      </c>
      <c r="D9" s="5" t="s">
        <v>563</v>
      </c>
      <c r="E9" s="5" t="s">
        <v>564</v>
      </c>
    </row>
    <row r="10" spans="1:5" ht="57.75" customHeight="1" x14ac:dyDescent="0.3">
      <c r="A10" s="4" t="s">
        <v>569</v>
      </c>
      <c r="B10" s="4" t="s">
        <v>570</v>
      </c>
      <c r="C10" s="5" t="s">
        <v>571</v>
      </c>
      <c r="D10" s="5" t="s">
        <v>21</v>
      </c>
      <c r="E10" s="5" t="s">
        <v>572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"/>
  <sheetViews>
    <sheetView zoomScaleNormal="100" workbookViewId="0"/>
  </sheetViews>
  <sheetFormatPr defaultColWidth="8.6640625" defaultRowHeight="14.4" x14ac:dyDescent="0.3"/>
  <cols>
    <col min="1" max="1" width="22" customWidth="1"/>
    <col min="2" max="2" width="16" customWidth="1"/>
    <col min="3" max="3" width="12" customWidth="1"/>
    <col min="4" max="4" width="24" customWidth="1"/>
    <col min="5" max="5" width="12" customWidth="1"/>
    <col min="6" max="6" width="22" customWidth="1"/>
    <col min="7" max="7" width="70" customWidth="1"/>
    <col min="8" max="8" width="28" customWidth="1"/>
    <col min="9" max="10" width="12" customWidth="1"/>
  </cols>
  <sheetData>
    <row r="1" spans="1:10" ht="21" x14ac:dyDescent="0.4">
      <c r="A1" s="6" t="s">
        <v>573</v>
      </c>
    </row>
    <row r="2" spans="1:10" x14ac:dyDescent="0.3">
      <c r="A2" s="7" t="s">
        <v>574</v>
      </c>
    </row>
    <row r="4" spans="1:10" ht="15.6" x14ac:dyDescent="0.3">
      <c r="A4" s="8" t="s">
        <v>575</v>
      </c>
      <c r="D4" s="8" t="s">
        <v>576</v>
      </c>
      <c r="H4" s="8" t="s">
        <v>577</v>
      </c>
    </row>
    <row r="5" spans="1:10" x14ac:dyDescent="0.3">
      <c r="A5" s="9" t="s">
        <v>1</v>
      </c>
      <c r="B5" s="9" t="s">
        <v>578</v>
      </c>
      <c r="D5" s="9" t="s">
        <v>2</v>
      </c>
      <c r="E5" s="9" t="s">
        <v>579</v>
      </c>
      <c r="F5" s="9" t="s">
        <v>580</v>
      </c>
      <c r="H5" s="9" t="s">
        <v>3</v>
      </c>
      <c r="I5" s="9" t="s">
        <v>579</v>
      </c>
      <c r="J5" s="9" t="s">
        <v>580</v>
      </c>
    </row>
    <row r="6" spans="1:10" x14ac:dyDescent="0.3">
      <c r="A6" t="s">
        <v>12</v>
      </c>
      <c r="B6">
        <f>COUNTIF(Kanban!$B$2:$B$125,A6)</f>
        <v>124</v>
      </c>
      <c r="D6" t="s">
        <v>13</v>
      </c>
      <c r="E6">
        <f>COUNTIF(Kanban!$C$2:$C$125,D6)</f>
        <v>52</v>
      </c>
      <c r="F6">
        <f>COUNTIFS(Kanban!$C$2:$C$125,D6,Kanban!$B$2:$B$125,"Done")</f>
        <v>0</v>
      </c>
      <c r="H6" t="s">
        <v>14</v>
      </c>
      <c r="I6">
        <f>COUNTIF(Kanban!$D$2:$D$125,H6)</f>
        <v>17</v>
      </c>
      <c r="J6">
        <f>COUNTIFS(Kanban!$D$2:$D$125,H6,Kanban!$B$2:$B$125,"Done")</f>
        <v>0</v>
      </c>
    </row>
    <row r="7" spans="1:10" x14ac:dyDescent="0.3">
      <c r="A7" t="s">
        <v>581</v>
      </c>
      <c r="B7">
        <f>COUNTIF(Kanban!$B$2:$B$125,A7)</f>
        <v>0</v>
      </c>
      <c r="D7" t="s">
        <v>62</v>
      </c>
      <c r="E7">
        <f>COUNTIF(Kanban!$C$2:$C$125,D7)</f>
        <v>50</v>
      </c>
      <c r="F7">
        <f>COUNTIFS(Kanban!$C$2:$C$125,D7,Kanban!$B$2:$B$125,"Done")</f>
        <v>0</v>
      </c>
      <c r="H7" t="s">
        <v>98</v>
      </c>
      <c r="I7">
        <f>COUNTIF(Kanban!$D$2:$D$125,H7)</f>
        <v>36</v>
      </c>
      <c r="J7">
        <f>COUNTIFS(Kanban!$D$2:$D$125,H7,Kanban!$B$2:$B$125,"Done")</f>
        <v>0</v>
      </c>
    </row>
    <row r="8" spans="1:10" x14ac:dyDescent="0.3">
      <c r="A8" t="s">
        <v>582</v>
      </c>
      <c r="B8">
        <f>COUNTIF(Kanban!$B$2:$B$125,A8)</f>
        <v>0</v>
      </c>
      <c r="D8" t="s">
        <v>82</v>
      </c>
      <c r="E8">
        <f>COUNTIF(Kanban!$C$2:$C$125,D8)</f>
        <v>15</v>
      </c>
      <c r="F8">
        <f>COUNTIFS(Kanban!$C$2:$C$125,D8,Kanban!$B$2:$B$125,"Done")</f>
        <v>0</v>
      </c>
      <c r="H8" t="s">
        <v>245</v>
      </c>
      <c r="I8">
        <f>COUNTIF(Kanban!$D$2:$D$125,H8)</f>
        <v>8</v>
      </c>
      <c r="J8">
        <f>COUNTIFS(Kanban!$D$2:$D$125,H8,Kanban!$B$2:$B$125,"Done")</f>
        <v>0</v>
      </c>
    </row>
    <row r="9" spans="1:10" x14ac:dyDescent="0.3">
      <c r="A9" t="s">
        <v>583</v>
      </c>
      <c r="B9">
        <f>COUNTIF(Kanban!$B$2:$B$125,A9)</f>
        <v>0</v>
      </c>
      <c r="D9" t="s">
        <v>386</v>
      </c>
      <c r="E9">
        <f>COUNTIF(Kanban!$C$2:$C$125,D9)</f>
        <v>7</v>
      </c>
      <c r="F9">
        <f>COUNTIFS(Kanban!$C$2:$C$125,D9,Kanban!$B$2:$B$125,"Done")</f>
        <v>0</v>
      </c>
      <c r="H9" t="s">
        <v>281</v>
      </c>
      <c r="I9">
        <f>COUNTIF(Kanban!$D$2:$D$125,H9)</f>
        <v>37</v>
      </c>
      <c r="J9">
        <f>COUNTIFS(Kanban!$D$2:$D$125,H9,Kanban!$B$2:$B$125,"Done")</f>
        <v>0</v>
      </c>
    </row>
    <row r="10" spans="1:10" x14ac:dyDescent="0.3">
      <c r="A10" t="s">
        <v>584</v>
      </c>
      <c r="B10">
        <f>COUNTIF(Kanban!$B$2:$B$125,A10)</f>
        <v>0</v>
      </c>
      <c r="H10" t="s">
        <v>426</v>
      </c>
      <c r="I10">
        <f>COUNTIF(Kanban!$D$2:$D$125,H10)</f>
        <v>8</v>
      </c>
      <c r="J10">
        <f>COUNTIFS(Kanban!$D$2:$D$125,H10,Kanban!$B$2:$B$125,"Done")</f>
        <v>0</v>
      </c>
    </row>
    <row r="11" spans="1:10" x14ac:dyDescent="0.3">
      <c r="A11" t="s">
        <v>585</v>
      </c>
      <c r="B11">
        <f>COUNTA(Kanban!$A$2:$A$125)</f>
        <v>124</v>
      </c>
      <c r="H11" t="s">
        <v>461</v>
      </c>
      <c r="I11">
        <f>COUNTIF(Kanban!$D$2:$D$125,H11)</f>
        <v>9</v>
      </c>
      <c r="J11">
        <f>COUNTIFS(Kanban!$D$2:$D$125,H11,Kanban!$B$2:$B$125,"Done")</f>
        <v>0</v>
      </c>
    </row>
    <row r="12" spans="1:10" x14ac:dyDescent="0.3">
      <c r="A12" t="s">
        <v>586</v>
      </c>
      <c r="B12" s="10">
        <f>IFERROR(B9/B11,0)</f>
        <v>0</v>
      </c>
      <c r="H12" t="s">
        <v>499</v>
      </c>
      <c r="I12">
        <f>COUNTIF(Kanban!$D$2:$D$125,H12)</f>
        <v>9</v>
      </c>
      <c r="J12">
        <f>COUNTIFS(Kanban!$D$2:$D$125,H12,Kanban!$B$2:$B$125,"Done")</f>
        <v>0</v>
      </c>
    </row>
    <row r="15" spans="1:10" ht="15.6" x14ac:dyDescent="0.3">
      <c r="A15" s="8" t="s">
        <v>587</v>
      </c>
      <c r="F15" s="8" t="s">
        <v>588</v>
      </c>
    </row>
    <row r="16" spans="1:10" x14ac:dyDescent="0.3">
      <c r="A16" s="9" t="s">
        <v>4</v>
      </c>
      <c r="B16" s="9" t="s">
        <v>5</v>
      </c>
      <c r="C16" s="9" t="s">
        <v>579</v>
      </c>
      <c r="D16" s="9" t="s">
        <v>580</v>
      </c>
      <c r="F16" s="11" t="s">
        <v>13</v>
      </c>
      <c r="G16" s="12" t="s">
        <v>589</v>
      </c>
    </row>
    <row r="17" spans="1:7" x14ac:dyDescent="0.3">
      <c r="A17" t="s">
        <v>15</v>
      </c>
      <c r="B17" t="s">
        <v>16</v>
      </c>
      <c r="C17">
        <f>COUNTIF(Kanban!$E$2:$E$125,A17)</f>
        <v>17</v>
      </c>
      <c r="D17">
        <f>COUNTIFS(Kanban!$E$2:$E$125,A17,Kanban!$B$2:$B$125,"Done")</f>
        <v>0</v>
      </c>
      <c r="F17" s="13" t="s">
        <v>62</v>
      </c>
      <c r="G17" s="12" t="s">
        <v>590</v>
      </c>
    </row>
    <row r="18" spans="1:7" x14ac:dyDescent="0.3">
      <c r="A18" t="s">
        <v>99</v>
      </c>
      <c r="B18" t="s">
        <v>100</v>
      </c>
      <c r="C18">
        <f>COUNTIF(Kanban!$E$2:$E$125,A18)</f>
        <v>13</v>
      </c>
      <c r="D18">
        <f>COUNTIFS(Kanban!$E$2:$E$125,A18,Kanban!$B$2:$B$125,"Done")</f>
        <v>0</v>
      </c>
      <c r="F18" s="14" t="s">
        <v>82</v>
      </c>
      <c r="G18" s="12" t="s">
        <v>591</v>
      </c>
    </row>
    <row r="19" spans="1:7" x14ac:dyDescent="0.3">
      <c r="A19" t="s">
        <v>149</v>
      </c>
      <c r="B19" t="s">
        <v>150</v>
      </c>
      <c r="C19">
        <f>COUNTIF(Kanban!$E$2:$E$125,A19)</f>
        <v>12</v>
      </c>
      <c r="D19">
        <f>COUNTIFS(Kanban!$E$2:$E$125,A19,Kanban!$B$2:$B$125,"Done")</f>
        <v>0</v>
      </c>
      <c r="F19" s="15" t="s">
        <v>386</v>
      </c>
      <c r="G19" s="12" t="s">
        <v>592</v>
      </c>
    </row>
    <row r="20" spans="1:7" x14ac:dyDescent="0.3">
      <c r="A20" t="s">
        <v>197</v>
      </c>
      <c r="B20" t="s">
        <v>198</v>
      </c>
      <c r="C20">
        <f>COUNTIF(Kanban!$E$2:$E$125,A20)</f>
        <v>11</v>
      </c>
      <c r="D20">
        <f>COUNTIFS(Kanban!$E$2:$E$125,A20,Kanban!$B$2:$B$125,"Done")</f>
        <v>0</v>
      </c>
    </row>
    <row r="21" spans="1:7" ht="15.6" x14ac:dyDescent="0.3">
      <c r="A21" t="s">
        <v>246</v>
      </c>
      <c r="B21" t="s">
        <v>247</v>
      </c>
      <c r="C21">
        <f>COUNTIF(Kanban!$E$2:$E$125,A21)</f>
        <v>8</v>
      </c>
      <c r="D21">
        <f>COUNTIFS(Kanban!$E$2:$E$125,A21,Kanban!$B$2:$B$125,"Done")</f>
        <v>0</v>
      </c>
      <c r="F21" s="8" t="s">
        <v>593</v>
      </c>
    </row>
    <row r="22" spans="1:7" x14ac:dyDescent="0.3">
      <c r="A22" t="s">
        <v>282</v>
      </c>
      <c r="B22" t="s">
        <v>283</v>
      </c>
      <c r="C22">
        <f>COUNTIF(Kanban!$E$2:$E$125,A22)</f>
        <v>9</v>
      </c>
      <c r="D22">
        <f>COUNTIFS(Kanban!$E$2:$E$125,A22,Kanban!$B$2:$B$125,"Done")</f>
        <v>0</v>
      </c>
      <c r="F22" s="12" t="s">
        <v>594</v>
      </c>
    </row>
    <row r="23" spans="1:7" x14ac:dyDescent="0.3">
      <c r="A23" t="s">
        <v>316</v>
      </c>
      <c r="B23" t="s">
        <v>317</v>
      </c>
      <c r="C23">
        <f>COUNTIF(Kanban!$E$2:$E$125,A23)</f>
        <v>9</v>
      </c>
      <c r="D23">
        <f>COUNTIFS(Kanban!$E$2:$E$125,A23,Kanban!$B$2:$B$125,"Done")</f>
        <v>0</v>
      </c>
      <c r="F23" s="12" t="s">
        <v>595</v>
      </c>
    </row>
    <row r="24" spans="1:7" x14ac:dyDescent="0.3">
      <c r="A24" t="s">
        <v>353</v>
      </c>
      <c r="B24" t="s">
        <v>354</v>
      </c>
      <c r="C24">
        <f>COUNTIF(Kanban!$E$2:$E$125,A24)</f>
        <v>11</v>
      </c>
      <c r="D24">
        <f>COUNTIFS(Kanban!$E$2:$E$125,A24,Kanban!$B$2:$B$125,"Done")</f>
        <v>0</v>
      </c>
      <c r="F24" s="12" t="s">
        <v>596</v>
      </c>
    </row>
    <row r="25" spans="1:7" x14ac:dyDescent="0.3">
      <c r="A25" t="s">
        <v>393</v>
      </c>
      <c r="B25" t="s">
        <v>394</v>
      </c>
      <c r="C25">
        <f>COUNTIF(Kanban!$E$2:$E$125,A25)</f>
        <v>8</v>
      </c>
      <c r="D25">
        <f>COUNTIFS(Kanban!$E$2:$E$125,A25,Kanban!$B$2:$B$125,"Done")</f>
        <v>0</v>
      </c>
      <c r="F25" s="12" t="s">
        <v>597</v>
      </c>
    </row>
    <row r="26" spans="1:7" x14ac:dyDescent="0.3">
      <c r="A26" t="s">
        <v>427</v>
      </c>
      <c r="B26" t="s">
        <v>428</v>
      </c>
      <c r="C26">
        <f>COUNTIF(Kanban!$E$2:$E$125,A26)</f>
        <v>8</v>
      </c>
      <c r="D26">
        <f>COUNTIFS(Kanban!$E$2:$E$125,A26,Kanban!$B$2:$B$125,"Done")</f>
        <v>0</v>
      </c>
      <c r="F26" s="12" t="s">
        <v>598</v>
      </c>
    </row>
    <row r="27" spans="1:7" x14ac:dyDescent="0.3">
      <c r="A27" t="s">
        <v>462</v>
      </c>
      <c r="B27" t="s">
        <v>463</v>
      </c>
      <c r="C27">
        <f>COUNTIF(Kanban!$E$2:$E$125,A27)</f>
        <v>9</v>
      </c>
      <c r="D27">
        <f>COUNTIFS(Kanban!$E$2:$E$125,A27,Kanban!$B$2:$B$125,"Done")</f>
        <v>0</v>
      </c>
      <c r="F27" s="12" t="s">
        <v>599</v>
      </c>
    </row>
    <row r="28" spans="1:7" x14ac:dyDescent="0.3">
      <c r="A28" t="s">
        <v>500</v>
      </c>
      <c r="B28" t="s">
        <v>501</v>
      </c>
      <c r="C28">
        <f>COUNTIF(Kanban!$E$2:$E$125,A28)</f>
        <v>9</v>
      </c>
      <c r="D28">
        <f>COUNTIFS(Kanban!$E$2:$E$125,A28,Kanban!$B$2:$B$125,"Done")</f>
        <v>0</v>
      </c>
      <c r="F28" s="12" t="s">
        <v>600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Kanban</vt:lpstr>
      <vt:lpstr>Equipe</vt:lpstr>
      <vt:lpstr>Painel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Lucas Bozzi</cp:lastModifiedBy>
  <cp:revision>0</cp:revision>
  <dcterms:created xsi:type="dcterms:W3CDTF">2026-09-16T11:45:46Z</dcterms:created>
  <dcterms:modified xsi:type="dcterms:W3CDTF">2026-09-16T15:23:45Z</dcterms:modified>
  <dc:language>en-US</dc:language>
</cp:coreProperties>
</file>